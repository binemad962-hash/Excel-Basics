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folder (2)\Excel-Basics\"/>
    </mc:Choice>
  </mc:AlternateContent>
  <xr:revisionPtr revIDLastSave="0" documentId="13_ncr:1_{B17B4EAC-6D3A-482C-B7DE-F74A609BBF0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 a="1"/>
  <c r="F8" i="4" s="1"/>
  <c r="E8" i="3" a="1"/>
  <c r="E8" i="3" s="1"/>
  <c r="X20" i="1"/>
  <c r="X9" i="1"/>
  <c r="Y9" i="1" s="1"/>
  <c r="V13" i="1"/>
  <c r="V12" i="1"/>
  <c r="V11" i="1"/>
  <c r="V10" i="1"/>
  <c r="V9" i="1"/>
  <c r="P3" i="1" a="1"/>
  <c r="P3" i="1" s="1"/>
  <c r="P4" i="1" a="1"/>
  <c r="P4" i="1" s="1"/>
  <c r="P5" i="1" a="1"/>
  <c r="P5" i="1" s="1"/>
  <c r="P6" i="1" a="1"/>
  <c r="P6" i="1"/>
  <c r="P7" i="1" a="1"/>
  <c r="P7" i="1" s="1"/>
  <c r="P8" i="1" a="1"/>
  <c r="P8" i="1" s="1"/>
  <c r="P9" i="1" a="1"/>
  <c r="P9" i="1" s="1"/>
  <c r="P10" i="1" a="1"/>
  <c r="P10" i="1"/>
  <c r="P11" i="1" a="1"/>
  <c r="P11" i="1" s="1"/>
  <c r="P12" i="1" a="1"/>
  <c r="P12" i="1" s="1"/>
  <c r="P13" i="1" a="1"/>
  <c r="P13" i="1" s="1"/>
  <c r="P14" i="1" a="1"/>
  <c r="P14" i="1"/>
  <c r="P15" i="1" a="1"/>
  <c r="P15" i="1" s="1"/>
  <c r="P16" i="1" a="1"/>
  <c r="P16" i="1" s="1"/>
  <c r="P17" i="1" a="1"/>
  <c r="P17" i="1" s="1"/>
  <c r="P18" i="1" a="1"/>
  <c r="P18" i="1"/>
  <c r="P19" i="1" a="1"/>
  <c r="P19" i="1" s="1"/>
  <c r="P20" i="1" a="1"/>
  <c r="P20" i="1" s="1"/>
  <c r="P21" i="1" a="1"/>
  <c r="P21" i="1" s="1"/>
  <c r="P22" i="1" a="1"/>
  <c r="P22" i="1"/>
  <c r="P23" i="1" a="1"/>
  <c r="P23" i="1" s="1"/>
  <c r="P24" i="1" a="1"/>
  <c r="P24" i="1" s="1"/>
  <c r="P25" i="1" a="1"/>
  <c r="P25" i="1" s="1"/>
  <c r="P26" i="1" a="1"/>
  <c r="P26" i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/>
  <c r="P131" i="1" a="1"/>
  <c r="P131" i="1" s="1"/>
  <c r="P132" i="1" a="1"/>
  <c r="P132" i="1" s="1"/>
  <c r="P133" i="1" a="1"/>
  <c r="P133" i="1" s="1"/>
  <c r="P134" i="1" a="1"/>
  <c r="P134" i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/>
  <c r="P163" i="1" a="1"/>
  <c r="P163" i="1" s="1"/>
  <c r="P164" i="1" a="1"/>
  <c r="P164" i="1" s="1"/>
  <c r="P165" i="1" a="1"/>
  <c r="P165" i="1" s="1"/>
  <c r="P166" i="1" a="1"/>
  <c r="P166" i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/>
  <c r="P195" i="1" a="1"/>
  <c r="P195" i="1" s="1"/>
  <c r="P196" i="1" a="1"/>
  <c r="P196" i="1" s="1"/>
  <c r="P197" i="1" a="1"/>
  <c r="P197" i="1" s="1"/>
  <c r="P198" i="1" a="1"/>
  <c r="P198" i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/>
  <c r="P227" i="1" a="1"/>
  <c r="P227" i="1" s="1"/>
  <c r="P228" i="1" a="1"/>
  <c r="P228" i="1" s="1"/>
  <c r="P229" i="1" a="1"/>
  <c r="P229" i="1" s="1"/>
  <c r="P230" i="1" a="1"/>
  <c r="P230" i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/>
  <c r="P259" i="1" a="1"/>
  <c r="P259" i="1" s="1"/>
  <c r="P260" i="1" a="1"/>
  <c r="P260" i="1" s="1"/>
  <c r="P261" i="1" a="1"/>
  <c r="P261" i="1" s="1"/>
  <c r="P262" i="1" a="1"/>
  <c r="P262" i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/>
  <c r="P291" i="1" a="1"/>
  <c r="P291" i="1" s="1"/>
  <c r="P292" i="1" a="1"/>
  <c r="P292" i="1" s="1"/>
  <c r="P293" i="1" a="1"/>
  <c r="P293" i="1" s="1"/>
  <c r="P294" i="1" a="1"/>
  <c r="P294" i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/>
  <c r="P303" i="1" a="1"/>
  <c r="P303" i="1" s="1"/>
  <c r="P304" i="1" a="1"/>
  <c r="P304" i="1" s="1"/>
  <c r="P305" i="1" a="1"/>
  <c r="P305" i="1"/>
  <c r="P306" i="1" a="1"/>
  <c r="P306" i="1" s="1"/>
  <c r="P307" i="1" a="1"/>
  <c r="P307" i="1" s="1"/>
  <c r="P308" i="1" a="1"/>
  <c r="P308" i="1" s="1"/>
  <c r="P309" i="1" a="1"/>
  <c r="P309" i="1"/>
  <c r="P310" i="1" a="1"/>
  <c r="P310" i="1"/>
  <c r="P311" i="1" a="1"/>
  <c r="P311" i="1"/>
  <c r="P312" i="1" a="1"/>
  <c r="P312" i="1" s="1"/>
  <c r="P313" i="1" a="1"/>
  <c r="P313" i="1" s="1"/>
  <c r="P314" i="1" a="1"/>
  <c r="P314" i="1"/>
  <c r="P315" i="1" a="1"/>
  <c r="P315" i="1" s="1"/>
  <c r="P316" i="1" a="1"/>
  <c r="P316" i="1" s="1"/>
  <c r="P317" i="1" a="1"/>
  <c r="P317" i="1" s="1"/>
  <c r="P318" i="1" a="1"/>
  <c r="P318" i="1"/>
  <c r="P319" i="1" a="1"/>
  <c r="P319" i="1" s="1"/>
  <c r="P320" i="1" a="1"/>
  <c r="P320" i="1" s="1"/>
  <c r="P321" i="1" a="1"/>
  <c r="P321" i="1" s="1"/>
  <c r="P322" i="1" a="1"/>
  <c r="P322" i="1" s="1"/>
  <c r="P323" i="1" a="1"/>
  <c r="P323" i="1"/>
  <c r="P324" i="1" a="1"/>
  <c r="P324" i="1" s="1"/>
  <c r="P325" i="1" a="1"/>
  <c r="P325" i="1"/>
  <c r="P326" i="1" a="1"/>
  <c r="P326" i="1" s="1"/>
  <c r="P327" i="1" a="1"/>
  <c r="P327" i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/>
  <c r="P334" i="1" a="1"/>
  <c r="P334" i="1"/>
  <c r="P335" i="1" a="1"/>
  <c r="P335" i="1" s="1"/>
  <c r="P336" i="1" a="1"/>
  <c r="P336" i="1" s="1"/>
  <c r="P337" i="1" a="1"/>
  <c r="P337" i="1"/>
  <c r="P338" i="1" a="1"/>
  <c r="P338" i="1" s="1"/>
  <c r="P339" i="1" a="1"/>
  <c r="P339" i="1" s="1"/>
  <c r="P340" i="1" a="1"/>
  <c r="P340" i="1" s="1"/>
  <c r="P341" i="1" a="1"/>
  <c r="P341" i="1"/>
  <c r="P342" i="1" a="1"/>
  <c r="P342" i="1" s="1"/>
  <c r="P343" i="1" a="1"/>
  <c r="P343" i="1"/>
  <c r="P344" i="1" a="1"/>
  <c r="P344" i="1" s="1"/>
  <c r="P345" i="1" a="1"/>
  <c r="P345" i="1"/>
  <c r="P346" i="1" a="1"/>
  <c r="P346" i="1" s="1"/>
  <c r="P347" i="1" a="1"/>
  <c r="P347" i="1"/>
  <c r="P348" i="1" a="1"/>
  <c r="P348" i="1" s="1"/>
  <c r="P349" i="1" a="1"/>
  <c r="P349" i="1"/>
  <c r="P350" i="1" a="1"/>
  <c r="P350" i="1"/>
  <c r="P351" i="1" a="1"/>
  <c r="P351" i="1"/>
  <c r="P352" i="1" a="1"/>
  <c r="P352" i="1" s="1"/>
  <c r="P353" i="1" a="1"/>
  <c r="P353" i="1"/>
  <c r="P354" i="1" a="1"/>
  <c r="P354" i="1" s="1"/>
  <c r="P355" i="1" a="1"/>
  <c r="P355" i="1"/>
  <c r="P356" i="1" a="1"/>
  <c r="P356" i="1" s="1"/>
  <c r="P357" i="1" a="1"/>
  <c r="P357" i="1"/>
  <c r="P358" i="1" a="1"/>
  <c r="P358" i="1"/>
  <c r="P359" i="1" a="1"/>
  <c r="P359" i="1"/>
  <c r="P360" i="1" a="1"/>
  <c r="P360" i="1" s="1"/>
  <c r="P361" i="1" a="1"/>
  <c r="P361" i="1"/>
  <c r="P362" i="1" a="1"/>
  <c r="P362" i="1"/>
  <c r="P363" i="1" a="1"/>
  <c r="P363" i="1"/>
  <c r="P364" i="1" a="1"/>
  <c r="P364" i="1" s="1"/>
  <c r="P365" i="1" a="1"/>
  <c r="P365" i="1"/>
  <c r="P366" i="1" a="1"/>
  <c r="P366" i="1" s="1"/>
  <c r="P367" i="1" a="1"/>
  <c r="P367" i="1"/>
  <c r="P368" i="1" a="1"/>
  <c r="P368" i="1" s="1"/>
  <c r="P369" i="1" a="1"/>
  <c r="P369" i="1"/>
  <c r="P370" i="1" a="1"/>
  <c r="P370" i="1" s="1"/>
  <c r="P371" i="1" a="1"/>
  <c r="P371" i="1"/>
  <c r="P372" i="1" a="1"/>
  <c r="P372" i="1" s="1"/>
  <c r="P373" i="1" a="1"/>
  <c r="P373" i="1"/>
  <c r="P374" i="1" a="1"/>
  <c r="P374" i="1" s="1"/>
  <c r="P375" i="1" a="1"/>
  <c r="P375" i="1"/>
  <c r="P376" i="1" a="1"/>
  <c r="P376" i="1" s="1"/>
  <c r="P377" i="1" a="1"/>
  <c r="P377" i="1" s="1"/>
  <c r="P378" i="1" a="1"/>
  <c r="P378" i="1"/>
  <c r="P379" i="1" a="1"/>
  <c r="P379" i="1"/>
  <c r="P380" i="1" a="1"/>
  <c r="P380" i="1" s="1"/>
  <c r="P381" i="1" a="1"/>
  <c r="P381" i="1" s="1"/>
  <c r="P382" i="1" a="1"/>
  <c r="P382" i="1"/>
  <c r="P383" i="1" a="1"/>
  <c r="P383" i="1"/>
  <c r="P384" i="1" a="1"/>
  <c r="P384" i="1" s="1"/>
  <c r="P385" i="1" a="1"/>
  <c r="P385" i="1" s="1"/>
  <c r="P386" i="1" a="1"/>
  <c r="P386" i="1" s="1"/>
  <c r="P387" i="1" a="1"/>
  <c r="P387" i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/>
  <c r="P395" i="1" a="1"/>
  <c r="P395" i="1" s="1"/>
  <c r="P396" i="1" a="1"/>
  <c r="P396" i="1" s="1"/>
  <c r="P397" i="1" a="1"/>
  <c r="P397" i="1" s="1"/>
  <c r="P398" i="1" a="1"/>
  <c r="P398" i="1"/>
  <c r="P399" i="1" a="1"/>
  <c r="P399" i="1"/>
  <c r="P400" i="1" a="1"/>
  <c r="P400" i="1" s="1"/>
  <c r="P401" i="1" a="1"/>
  <c r="P401" i="1" s="1"/>
  <c r="P402" i="1" a="1"/>
  <c r="P402" i="1" s="1"/>
  <c r="P403" i="1" a="1"/>
  <c r="P403" i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/>
  <c r="P411" i="1" a="1"/>
  <c r="P411" i="1" s="1"/>
  <c r="P412" i="1" a="1"/>
  <c r="P412" i="1" s="1"/>
  <c r="P413" i="1" a="1"/>
  <c r="P413" i="1" s="1"/>
  <c r="P414" i="1" a="1"/>
  <c r="P414" i="1"/>
  <c r="P415" i="1" a="1"/>
  <c r="P415" i="1"/>
  <c r="P416" i="1" a="1"/>
  <c r="P416" i="1" s="1"/>
  <c r="P417" i="1" a="1"/>
  <c r="P417" i="1" s="1"/>
  <c r="P418" i="1" a="1"/>
  <c r="P418" i="1" s="1"/>
  <c r="P419" i="1" a="1"/>
  <c r="P419" i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/>
  <c r="P427" i="1" a="1"/>
  <c r="P427" i="1" s="1"/>
  <c r="P428" i="1" a="1"/>
  <c r="P428" i="1" s="1"/>
  <c r="P429" i="1" a="1"/>
  <c r="P429" i="1" s="1"/>
  <c r="P430" i="1" a="1"/>
  <c r="P430" i="1"/>
  <c r="P431" i="1" a="1"/>
  <c r="P431" i="1"/>
  <c r="P432" i="1" a="1"/>
  <c r="P432" i="1" s="1"/>
  <c r="P433" i="1" a="1"/>
  <c r="P433" i="1" s="1"/>
  <c r="P434" i="1" a="1"/>
  <c r="P434" i="1" s="1"/>
  <c r="P435" i="1" a="1"/>
  <c r="P435" i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/>
  <c r="P443" i="1" a="1"/>
  <c r="P443" i="1" s="1"/>
  <c r="P444" i="1" a="1"/>
  <c r="P444" i="1" s="1"/>
  <c r="P445" i="1" a="1"/>
  <c r="P445" i="1" s="1"/>
  <c r="P446" i="1" a="1"/>
  <c r="P446" i="1"/>
  <c r="P447" i="1" a="1"/>
  <c r="P447" i="1"/>
  <c r="P448" i="1" a="1"/>
  <c r="P448" i="1" s="1"/>
  <c r="P449" i="1" a="1"/>
  <c r="P449" i="1" s="1"/>
  <c r="P450" i="1" a="1"/>
  <c r="P450" i="1" s="1"/>
  <c r="P451" i="1" a="1"/>
  <c r="P451" i="1"/>
  <c r="P452" i="1" a="1"/>
  <c r="P452" i="1" s="1"/>
  <c r="P453" i="1" a="1"/>
  <c r="P453" i="1" s="1"/>
  <c r="P454" i="1" a="1"/>
  <c r="P454" i="1" s="1"/>
  <c r="P455" i="1" a="1"/>
  <c r="P455" i="1" s="1"/>
  <c r="P456" i="1" a="1"/>
  <c r="P456" i="1" s="1"/>
  <c r="P457" i="1" a="1"/>
  <c r="P457" i="1" s="1"/>
  <c r="P458" i="1" a="1"/>
  <c r="P458" i="1"/>
  <c r="P459" i="1" a="1"/>
  <c r="P459" i="1" s="1"/>
  <c r="P460" i="1" a="1"/>
  <c r="P460" i="1" s="1"/>
  <c r="P461" i="1" a="1"/>
  <c r="P461" i="1" s="1"/>
  <c r="P462" i="1" a="1"/>
  <c r="P462" i="1"/>
  <c r="P463" i="1" a="1"/>
  <c r="P463" i="1"/>
  <c r="P464" i="1" a="1"/>
  <c r="P464" i="1" s="1"/>
  <c r="P465" i="1" a="1"/>
  <c r="P465" i="1" s="1"/>
  <c r="P466" i="1" a="1"/>
  <c r="P466" i="1" s="1"/>
  <c r="P467" i="1" a="1"/>
  <c r="P467" i="1"/>
  <c r="P468" i="1" a="1"/>
  <c r="P468" i="1" s="1"/>
  <c r="P469" i="1" a="1"/>
  <c r="P469" i="1" s="1"/>
  <c r="P470" i="1" a="1"/>
  <c r="P470" i="1" s="1"/>
  <c r="P471" i="1" a="1"/>
  <c r="P471" i="1" s="1"/>
  <c r="P472" i="1" a="1"/>
  <c r="P472" i="1" s="1"/>
  <c r="P473" i="1" a="1"/>
  <c r="P473" i="1" s="1"/>
  <c r="P474" i="1" a="1"/>
  <c r="P474" i="1"/>
  <c r="P475" i="1" a="1"/>
  <c r="P475" i="1" s="1"/>
  <c r="P476" i="1" a="1"/>
  <c r="P476" i="1" s="1"/>
  <c r="P477" i="1" a="1"/>
  <c r="P477" i="1" s="1"/>
  <c r="P478" i="1" a="1"/>
  <c r="P478" i="1"/>
  <c r="P479" i="1" a="1"/>
  <c r="P479" i="1"/>
  <c r="P480" i="1" a="1"/>
  <c r="P480" i="1" s="1"/>
  <c r="P481" i="1" a="1"/>
  <c r="P481" i="1" s="1"/>
  <c r="P482" i="1" a="1"/>
  <c r="P482" i="1" s="1"/>
  <c r="P483" i="1" a="1"/>
  <c r="P483" i="1"/>
  <c r="P484" i="1" a="1"/>
  <c r="P484" i="1" s="1"/>
  <c r="P485" i="1" a="1"/>
  <c r="P485" i="1" s="1"/>
  <c r="P486" i="1" a="1"/>
  <c r="P486" i="1" s="1"/>
  <c r="P487" i="1" a="1"/>
  <c r="P487" i="1" s="1"/>
  <c r="P488" i="1" a="1"/>
  <c r="P488" i="1" s="1"/>
  <c r="P489" i="1" a="1"/>
  <c r="P489" i="1" s="1"/>
  <c r="P490" i="1" a="1"/>
  <c r="P490" i="1"/>
  <c r="P491" i="1" a="1"/>
  <c r="P491" i="1" s="1"/>
  <c r="P492" i="1" a="1"/>
  <c r="P492" i="1" s="1"/>
  <c r="P493" i="1" a="1"/>
  <c r="P493" i="1" s="1"/>
  <c r="P494" i="1" a="1"/>
  <c r="P494" i="1"/>
  <c r="P495" i="1" a="1"/>
  <c r="P495" i="1"/>
  <c r="P496" i="1" a="1"/>
  <c r="P496" i="1" s="1"/>
  <c r="P497" i="1" a="1"/>
  <c r="P497" i="1" s="1"/>
  <c r="P498" i="1" a="1"/>
  <c r="P498" i="1" s="1"/>
  <c r="P499" i="1" a="1"/>
  <c r="P499" i="1"/>
  <c r="P500" i="1" a="1"/>
  <c r="P500" i="1" s="1"/>
  <c r="P501" i="1" a="1"/>
  <c r="P501" i="1" s="1"/>
  <c r="P502" i="1" a="1"/>
  <c r="P502" i="1" s="1"/>
  <c r="P503" i="1" a="1"/>
  <c r="P503" i="1" s="1"/>
  <c r="P504" i="1" a="1"/>
  <c r="P504" i="1" s="1"/>
  <c r="P505" i="1" a="1"/>
  <c r="P505" i="1" s="1"/>
  <c r="P506" i="1" a="1"/>
  <c r="P506" i="1"/>
  <c r="P507" i="1" a="1"/>
  <c r="P507" i="1" s="1"/>
  <c r="P508" i="1" a="1"/>
  <c r="P508" i="1" s="1"/>
  <c r="P509" i="1" a="1"/>
  <c r="P509" i="1" s="1"/>
  <c r="P510" i="1" a="1"/>
  <c r="P510" i="1"/>
  <c r="P511" i="1" a="1"/>
  <c r="P511" i="1"/>
  <c r="P512" i="1" a="1"/>
  <c r="P512" i="1" s="1"/>
  <c r="P513" i="1" a="1"/>
  <c r="P513" i="1" s="1"/>
  <c r="P514" i="1" a="1"/>
  <c r="P514" i="1" s="1"/>
  <c r="P515" i="1" a="1"/>
  <c r="P515" i="1"/>
  <c r="P516" i="1" a="1"/>
  <c r="P516" i="1" s="1"/>
  <c r="P517" i="1" a="1"/>
  <c r="P517" i="1" s="1"/>
  <c r="P518" i="1" a="1"/>
  <c r="P518" i="1" s="1"/>
  <c r="P519" i="1" a="1"/>
  <c r="P519" i="1" s="1"/>
  <c r="P520" i="1" a="1"/>
  <c r="P520" i="1" s="1"/>
  <c r="P521" i="1" a="1"/>
  <c r="P521" i="1" s="1"/>
  <c r="P522" i="1" a="1"/>
  <c r="P522" i="1" s="1"/>
  <c r="P523" i="1" a="1"/>
  <c r="P523" i="1"/>
  <c r="P524" i="1" a="1"/>
  <c r="P524" i="1" s="1"/>
  <c r="P525" i="1" a="1"/>
  <c r="P525" i="1"/>
  <c r="P526" i="1" a="1"/>
  <c r="P526" i="1"/>
  <c r="P527" i="1" a="1"/>
  <c r="P527" i="1" s="1"/>
  <c r="P528" i="1" a="1"/>
  <c r="P528" i="1" s="1"/>
  <c r="P529" i="1" a="1"/>
  <c r="P529" i="1"/>
  <c r="P530" i="1" a="1"/>
  <c r="P530" i="1" s="1"/>
  <c r="P531" i="1" a="1"/>
  <c r="P531" i="1" s="1"/>
  <c r="P532" i="1" a="1"/>
  <c r="P532" i="1" s="1"/>
  <c r="P533" i="1" a="1"/>
  <c r="P533" i="1" s="1"/>
  <c r="P534" i="1" a="1"/>
  <c r="P534" i="1"/>
  <c r="P535" i="1" a="1"/>
  <c r="P535" i="1"/>
  <c r="P536" i="1" a="1"/>
  <c r="P536" i="1" s="1"/>
  <c r="P537" i="1" a="1"/>
  <c r="P537" i="1"/>
  <c r="P538" i="1" a="1"/>
  <c r="P538" i="1"/>
  <c r="P539" i="1" a="1"/>
  <c r="P539" i="1" s="1"/>
  <c r="P540" i="1" a="1"/>
  <c r="P540" i="1" s="1"/>
  <c r="P541" i="1" a="1"/>
  <c r="P541" i="1" s="1"/>
  <c r="P542" i="1" a="1"/>
  <c r="P542" i="1" s="1"/>
  <c r="P543" i="1" a="1"/>
  <c r="P543" i="1"/>
  <c r="P544" i="1" a="1"/>
  <c r="P544" i="1" s="1"/>
  <c r="P545" i="1" a="1"/>
  <c r="P545" i="1" s="1"/>
  <c r="P546" i="1" a="1"/>
  <c r="P546" i="1"/>
  <c r="P547" i="1" a="1"/>
  <c r="P547" i="1"/>
  <c r="P548" i="1" a="1"/>
  <c r="P548" i="1" s="1"/>
  <c r="P549" i="1" a="1"/>
  <c r="P549" i="1"/>
  <c r="P550" i="1" a="1"/>
  <c r="P550" i="1" s="1"/>
  <c r="P551" i="1" a="1"/>
  <c r="P551" i="1" s="1"/>
  <c r="P552" i="1" a="1"/>
  <c r="P552" i="1" s="1"/>
  <c r="P553" i="1" a="1"/>
  <c r="P553" i="1" s="1"/>
  <c r="P554" i="1" a="1"/>
  <c r="P554" i="1" s="1"/>
  <c r="P555" i="1" a="1"/>
  <c r="P555" i="1"/>
  <c r="P556" i="1" a="1"/>
  <c r="P556" i="1" s="1"/>
  <c r="P557" i="1" a="1"/>
  <c r="P557" i="1"/>
  <c r="P558" i="1" a="1"/>
  <c r="P558" i="1"/>
  <c r="P559" i="1" a="1"/>
  <c r="P559" i="1" s="1"/>
  <c r="P560" i="1" a="1"/>
  <c r="P560" i="1" s="1"/>
  <c r="P561" i="1" a="1"/>
  <c r="P561" i="1"/>
  <c r="P562" i="1" a="1"/>
  <c r="P562" i="1" s="1"/>
  <c r="P563" i="1" a="1"/>
  <c r="P563" i="1" s="1"/>
  <c r="P564" i="1" a="1"/>
  <c r="P564" i="1" s="1"/>
  <c r="P565" i="1" a="1"/>
  <c r="P565" i="1" s="1"/>
  <c r="P566" i="1" a="1"/>
  <c r="P566" i="1"/>
  <c r="P567" i="1" a="1"/>
  <c r="P567" i="1"/>
  <c r="P568" i="1" a="1"/>
  <c r="P568" i="1" s="1"/>
  <c r="P569" i="1" a="1"/>
  <c r="P569" i="1"/>
  <c r="P570" i="1" a="1"/>
  <c r="P570" i="1"/>
  <c r="P571" i="1" a="1"/>
  <c r="P571" i="1" s="1"/>
  <c r="P572" i="1" a="1"/>
  <c r="P572" i="1" s="1"/>
  <c r="P573" i="1" a="1"/>
  <c r="P573" i="1" s="1"/>
  <c r="P574" i="1" a="1"/>
  <c r="P574" i="1" s="1"/>
  <c r="P575" i="1" a="1"/>
  <c r="P575" i="1"/>
  <c r="P576" i="1" a="1"/>
  <c r="P576" i="1" s="1"/>
  <c r="P577" i="1" a="1"/>
  <c r="P577" i="1" s="1"/>
  <c r="P578" i="1" a="1"/>
  <c r="P578" i="1"/>
  <c r="P579" i="1" a="1"/>
  <c r="P579" i="1"/>
  <c r="P580" i="1" a="1"/>
  <c r="P580" i="1" s="1"/>
  <c r="P581" i="1" a="1"/>
  <c r="P581" i="1"/>
  <c r="P582" i="1" a="1"/>
  <c r="P582" i="1" s="1"/>
  <c r="P583" i="1" a="1"/>
  <c r="P583" i="1" s="1"/>
  <c r="P584" i="1" a="1"/>
  <c r="P584" i="1" s="1"/>
  <c r="P585" i="1" a="1"/>
  <c r="P585" i="1" s="1"/>
  <c r="P586" i="1" a="1"/>
  <c r="P586" i="1" s="1"/>
  <c r="P587" i="1" a="1"/>
  <c r="P587" i="1"/>
  <c r="P588" i="1" a="1"/>
  <c r="P588" i="1" s="1"/>
  <c r="P589" i="1" a="1"/>
  <c r="P589" i="1"/>
  <c r="P590" i="1" a="1"/>
  <c r="P590" i="1"/>
  <c r="P591" i="1" a="1"/>
  <c r="P591" i="1" s="1"/>
  <c r="P592" i="1" a="1"/>
  <c r="P592" i="1" s="1"/>
  <c r="P593" i="1" a="1"/>
  <c r="P593" i="1"/>
  <c r="P594" i="1" a="1"/>
  <c r="P594" i="1" s="1"/>
  <c r="P595" i="1" a="1"/>
  <c r="P595" i="1" s="1"/>
  <c r="P596" i="1" a="1"/>
  <c r="P596" i="1" s="1"/>
  <c r="P597" i="1" a="1"/>
  <c r="P597" i="1" s="1"/>
  <c r="P598" i="1" a="1"/>
  <c r="P598" i="1"/>
  <c r="P599" i="1" a="1"/>
  <c r="P599" i="1"/>
  <c r="P600" i="1" a="1"/>
  <c r="P600" i="1" s="1"/>
  <c r="P601" i="1" a="1"/>
  <c r="P601" i="1"/>
  <c r="P602" i="1" a="1"/>
  <c r="P602" i="1"/>
  <c r="P603" i="1" a="1"/>
  <c r="P603" i="1" s="1"/>
  <c r="P604" i="1" a="1"/>
  <c r="P604" i="1" s="1"/>
  <c r="P605" i="1" a="1"/>
  <c r="P605" i="1" s="1"/>
  <c r="P606" i="1" a="1"/>
  <c r="P606" i="1" s="1"/>
  <c r="P607" i="1" a="1"/>
  <c r="P607" i="1"/>
  <c r="P608" i="1" a="1"/>
  <c r="P608" i="1" s="1"/>
  <c r="P609" i="1" a="1"/>
  <c r="P609" i="1" s="1"/>
  <c r="P610" i="1" a="1"/>
  <c r="P610" i="1"/>
  <c r="P611" i="1" a="1"/>
  <c r="P611" i="1"/>
  <c r="P612" i="1" a="1"/>
  <c r="P612" i="1" s="1"/>
  <c r="P613" i="1" a="1"/>
  <c r="P613" i="1"/>
  <c r="P614" i="1" a="1"/>
  <c r="P614" i="1" s="1"/>
  <c r="P615" i="1" a="1"/>
  <c r="P615" i="1" s="1"/>
  <c r="P616" i="1" a="1"/>
  <c r="P616" i="1" s="1"/>
  <c r="P617" i="1" a="1"/>
  <c r="P617" i="1" s="1"/>
  <c r="P618" i="1" a="1"/>
  <c r="P618" i="1" s="1"/>
  <c r="P619" i="1" a="1"/>
  <c r="P619" i="1"/>
  <c r="P620" i="1" a="1"/>
  <c r="P620" i="1" s="1"/>
  <c r="P621" i="1" a="1"/>
  <c r="P621" i="1"/>
  <c r="P622" i="1" a="1"/>
  <c r="P622" i="1"/>
  <c r="P623" i="1" a="1"/>
  <c r="P623" i="1" s="1"/>
  <c r="P624" i="1" a="1"/>
  <c r="P624" i="1" s="1"/>
  <c r="P625" i="1" a="1"/>
  <c r="P625" i="1"/>
  <c r="P626" i="1" a="1"/>
  <c r="P626" i="1" s="1"/>
  <c r="P627" i="1" a="1"/>
  <c r="P627" i="1" s="1"/>
  <c r="P628" i="1" a="1"/>
  <c r="P628" i="1" s="1"/>
  <c r="P629" i="1" a="1"/>
  <c r="P629" i="1" s="1"/>
  <c r="P630" i="1" a="1"/>
  <c r="P630" i="1"/>
  <c r="P631" i="1" a="1"/>
  <c r="P631" i="1"/>
  <c r="P632" i="1" a="1"/>
  <c r="P632" i="1" s="1"/>
  <c r="P633" i="1" a="1"/>
  <c r="P633" i="1" s="1"/>
  <c r="P634" i="1" a="1"/>
  <c r="P634" i="1"/>
  <c r="P635" i="1" a="1"/>
  <c r="P635" i="1"/>
  <c r="P636" i="1" a="1"/>
  <c r="P636" i="1" s="1"/>
  <c r="P637" i="1" a="1"/>
  <c r="P637" i="1" s="1"/>
  <c r="P638" i="1" a="1"/>
  <c r="P638" i="1"/>
  <c r="P639" i="1" a="1"/>
  <c r="P639" i="1"/>
  <c r="P640" i="1" a="1"/>
  <c r="P640" i="1" s="1"/>
  <c r="P641" i="1" a="1"/>
  <c r="P641" i="1" s="1"/>
  <c r="P642" i="1" a="1"/>
  <c r="P642" i="1"/>
  <c r="P643" i="1" a="1"/>
  <c r="P643" i="1"/>
  <c r="P644" i="1" a="1"/>
  <c r="P644" i="1" s="1"/>
  <c r="P645" i="1" a="1"/>
  <c r="P645" i="1" s="1"/>
  <c r="P646" i="1" a="1"/>
  <c r="P646" i="1"/>
  <c r="P647" i="1" a="1"/>
  <c r="P647" i="1"/>
  <c r="P648" i="1" a="1"/>
  <c r="P648" i="1" s="1"/>
  <c r="P649" i="1" a="1"/>
  <c r="P649" i="1" s="1"/>
  <c r="P650" i="1" a="1"/>
  <c r="P650" i="1"/>
  <c r="P651" i="1" a="1"/>
  <c r="P651" i="1"/>
  <c r="P652" i="1" a="1"/>
  <c r="P652" i="1" s="1"/>
  <c r="P653" i="1" a="1"/>
  <c r="P653" i="1" s="1"/>
  <c r="P654" i="1" a="1"/>
  <c r="P654" i="1"/>
  <c r="P655" i="1" a="1"/>
  <c r="P655" i="1"/>
  <c r="P656" i="1" a="1"/>
  <c r="P656" i="1" s="1"/>
  <c r="P657" i="1" a="1"/>
  <c r="P657" i="1" s="1"/>
  <c r="P658" i="1" a="1"/>
  <c r="P658" i="1"/>
  <c r="P659" i="1" a="1"/>
  <c r="P659" i="1"/>
  <c r="P660" i="1" a="1"/>
  <c r="P660" i="1" s="1"/>
  <c r="P661" i="1" a="1"/>
  <c r="P661" i="1" s="1"/>
  <c r="P662" i="1" a="1"/>
  <c r="P662" i="1"/>
  <c r="P663" i="1" a="1"/>
  <c r="P663" i="1"/>
  <c r="P664" i="1" a="1"/>
  <c r="P664" i="1" s="1"/>
  <c r="P665" i="1" a="1"/>
  <c r="P665" i="1" s="1"/>
  <c r="P666" i="1" a="1"/>
  <c r="P666" i="1"/>
  <c r="P667" i="1" a="1"/>
  <c r="P667" i="1"/>
  <c r="P668" i="1" a="1"/>
  <c r="P668" i="1" s="1"/>
  <c r="P669" i="1" a="1"/>
  <c r="P669" i="1" s="1"/>
  <c r="P670" i="1" a="1"/>
  <c r="P670" i="1"/>
  <c r="P671" i="1" a="1"/>
  <c r="P671" i="1"/>
  <c r="P672" i="1" a="1"/>
  <c r="P672" i="1" s="1"/>
  <c r="P673" i="1" a="1"/>
  <c r="P673" i="1" s="1"/>
  <c r="P674" i="1" a="1"/>
  <c r="P674" i="1"/>
  <c r="P675" i="1" a="1"/>
  <c r="P675" i="1"/>
  <c r="P676" i="1" a="1"/>
  <c r="P676" i="1" s="1"/>
  <c r="P677" i="1" a="1"/>
  <c r="P677" i="1" s="1"/>
  <c r="P678" i="1" a="1"/>
  <c r="P678" i="1"/>
  <c r="P679" i="1" a="1"/>
  <c r="P679" i="1"/>
  <c r="P680" i="1" a="1"/>
  <c r="P680" i="1" s="1"/>
  <c r="P681" i="1" a="1"/>
  <c r="P681" i="1" s="1"/>
  <c r="P682" i="1" a="1"/>
  <c r="P682" i="1"/>
  <c r="P683" i="1" a="1"/>
  <c r="P683" i="1"/>
  <c r="P684" i="1" a="1"/>
  <c r="P684" i="1" s="1"/>
  <c r="P685" i="1" a="1"/>
  <c r="P685" i="1" s="1"/>
  <c r="P686" i="1" a="1"/>
  <c r="P686" i="1"/>
  <c r="P687" i="1" a="1"/>
  <c r="P687" i="1"/>
  <c r="P688" i="1" a="1"/>
  <c r="P688" i="1" s="1"/>
  <c r="P689" i="1" a="1"/>
  <c r="P689" i="1" s="1"/>
  <c r="P690" i="1" a="1"/>
  <c r="P690" i="1"/>
  <c r="P691" i="1" a="1"/>
  <c r="P691" i="1"/>
  <c r="P692" i="1" a="1"/>
  <c r="P692" i="1" s="1"/>
  <c r="P693" i="1" a="1"/>
  <c r="P693" i="1" s="1"/>
  <c r="P694" i="1" a="1"/>
  <c r="P694" i="1"/>
  <c r="P695" i="1" a="1"/>
  <c r="P695" i="1"/>
  <c r="P696" i="1" a="1"/>
  <c r="P696" i="1" s="1"/>
  <c r="P697" i="1" a="1"/>
  <c r="P697" i="1" s="1"/>
  <c r="P698" i="1" a="1"/>
  <c r="P698" i="1"/>
  <c r="P699" i="1" a="1"/>
  <c r="P699" i="1"/>
  <c r="P700" i="1" a="1"/>
  <c r="P700" i="1" s="1"/>
  <c r="P701" i="1" a="1"/>
  <c r="P701" i="1" s="1"/>
  <c r="P702" i="1" a="1"/>
  <c r="P702" i="1"/>
  <c r="P703" i="1" a="1"/>
  <c r="P703" i="1"/>
  <c r="P704" i="1" a="1"/>
  <c r="P704" i="1" s="1"/>
  <c r="P705" i="1" a="1"/>
  <c r="P705" i="1" s="1"/>
  <c r="P706" i="1" a="1"/>
  <c r="P706" i="1"/>
  <c r="P707" i="1" a="1"/>
  <c r="P707" i="1"/>
  <c r="P708" i="1" a="1"/>
  <c r="P708" i="1" s="1"/>
  <c r="P709" i="1" a="1"/>
  <c r="P709" i="1" s="1"/>
  <c r="P710" i="1" a="1"/>
  <c r="P710" i="1"/>
  <c r="P711" i="1" a="1"/>
  <c r="P711" i="1"/>
  <c r="P712" i="1" a="1"/>
  <c r="P712" i="1" s="1"/>
  <c r="P713" i="1" a="1"/>
  <c r="P713" i="1" s="1"/>
  <c r="P714" i="1" a="1"/>
  <c r="P714" i="1"/>
  <c r="P715" i="1" a="1"/>
  <c r="P715" i="1"/>
  <c r="P716" i="1" a="1"/>
  <c r="P716" i="1" s="1"/>
  <c r="P717" i="1" a="1"/>
  <c r="P717" i="1" s="1"/>
  <c r="P718" i="1" a="1"/>
  <c r="P718" i="1"/>
  <c r="P719" i="1" a="1"/>
  <c r="P719" i="1"/>
  <c r="P720" i="1" a="1"/>
  <c r="P720" i="1" s="1"/>
  <c r="P721" i="1" a="1"/>
  <c r="P721" i="1" s="1"/>
  <c r="P722" i="1" a="1"/>
  <c r="P722" i="1"/>
  <c r="P723" i="1" a="1"/>
  <c r="P723" i="1"/>
  <c r="P724" i="1" a="1"/>
  <c r="P724" i="1" s="1"/>
  <c r="P725" i="1" a="1"/>
  <c r="P725" i="1" s="1"/>
  <c r="P726" i="1" a="1"/>
  <c r="P726" i="1"/>
  <c r="P727" i="1" a="1"/>
  <c r="P727" i="1"/>
  <c r="P728" i="1" a="1"/>
  <c r="P728" i="1" s="1"/>
  <c r="P729" i="1" a="1"/>
  <c r="P729" i="1" s="1"/>
  <c r="P730" i="1" a="1"/>
  <c r="P730" i="1"/>
  <c r="P731" i="1" a="1"/>
  <c r="P731" i="1"/>
  <c r="P732" i="1" a="1"/>
  <c r="P732" i="1" s="1"/>
  <c r="P733" i="1" a="1"/>
  <c r="P733" i="1" s="1"/>
  <c r="P734" i="1" a="1"/>
  <c r="P734" i="1"/>
  <c r="P735" i="1" a="1"/>
  <c r="P735" i="1"/>
  <c r="P736" i="1" a="1"/>
  <c r="P736" i="1" s="1"/>
  <c r="P737" i="1" a="1"/>
  <c r="P737" i="1" s="1"/>
  <c r="P738" i="1" a="1"/>
  <c r="P738" i="1"/>
  <c r="P739" i="1" a="1"/>
  <c r="P739" i="1"/>
  <c r="P740" i="1" a="1"/>
  <c r="P740" i="1" s="1"/>
  <c r="P741" i="1" a="1"/>
  <c r="P741" i="1" s="1"/>
  <c r="P742" i="1" a="1"/>
  <c r="P742" i="1"/>
  <c r="P743" i="1" a="1"/>
  <c r="P743" i="1"/>
  <c r="P744" i="1" a="1"/>
  <c r="P744" i="1" s="1"/>
  <c r="P745" i="1" a="1"/>
  <c r="P745" i="1" s="1"/>
  <c r="P746" i="1" a="1"/>
  <c r="P746" i="1"/>
  <c r="P747" i="1" a="1"/>
  <c r="P747" i="1"/>
  <c r="P748" i="1" a="1"/>
  <c r="P748" i="1" s="1"/>
  <c r="P749" i="1" a="1"/>
  <c r="P749" i="1" s="1"/>
  <c r="P750" i="1" a="1"/>
  <c r="P750" i="1"/>
  <c r="P751" i="1" a="1"/>
  <c r="P751" i="1"/>
  <c r="P752" i="1" a="1"/>
  <c r="P752" i="1" s="1"/>
  <c r="P753" i="1" a="1"/>
  <c r="P753" i="1" s="1"/>
  <c r="P754" i="1" a="1"/>
  <c r="P754" i="1"/>
  <c r="P755" i="1" a="1"/>
  <c r="P755" i="1"/>
  <c r="P756" i="1" a="1"/>
  <c r="P756" i="1" s="1"/>
  <c r="P757" i="1" a="1"/>
  <c r="P757" i="1" s="1"/>
  <c r="P758" i="1" a="1"/>
  <c r="P758" i="1"/>
  <c r="P759" i="1" a="1"/>
  <c r="P759" i="1"/>
  <c r="P760" i="1" a="1"/>
  <c r="P760" i="1" s="1"/>
  <c r="P761" i="1" a="1"/>
  <c r="P761" i="1" s="1"/>
  <c r="P762" i="1" a="1"/>
  <c r="P762" i="1"/>
  <c r="P763" i="1" a="1"/>
  <c r="P763" i="1"/>
  <c r="P764" i="1" a="1"/>
  <c r="P764" i="1" s="1"/>
  <c r="P765" i="1" a="1"/>
  <c r="P765" i="1" s="1"/>
  <c r="P766" i="1" a="1"/>
  <c r="P766" i="1"/>
  <c r="P767" i="1" a="1"/>
  <c r="P767" i="1"/>
  <c r="P768" i="1" a="1"/>
  <c r="P768" i="1" s="1"/>
  <c r="P769" i="1" a="1"/>
  <c r="P769" i="1" s="1"/>
  <c r="P770" i="1" a="1"/>
  <c r="P770" i="1"/>
  <c r="P771" i="1" a="1"/>
  <c r="P771" i="1"/>
  <c r="P772" i="1" a="1"/>
  <c r="P772" i="1" s="1"/>
  <c r="P773" i="1" a="1"/>
  <c r="P773" i="1" s="1"/>
  <c r="P774" i="1" a="1"/>
  <c r="P774" i="1"/>
  <c r="P775" i="1" a="1"/>
  <c r="P775" i="1"/>
  <c r="P776" i="1" a="1"/>
  <c r="P776" i="1" s="1"/>
  <c r="P777" i="1" a="1"/>
  <c r="P777" i="1" s="1"/>
  <c r="P778" i="1" a="1"/>
  <c r="P778" i="1"/>
  <c r="P779" i="1" a="1"/>
  <c r="P779" i="1"/>
  <c r="P780" i="1" a="1"/>
  <c r="P780" i="1" s="1"/>
  <c r="P781" i="1" a="1"/>
  <c r="P781" i="1" s="1"/>
  <c r="P782" i="1" a="1"/>
  <c r="P782" i="1"/>
  <c r="P783" i="1" a="1"/>
  <c r="P783" i="1"/>
  <c r="P784" i="1" a="1"/>
  <c r="P784" i="1" s="1"/>
  <c r="P785" i="1" a="1"/>
  <c r="P785" i="1" s="1"/>
  <c r="P786" i="1" a="1"/>
  <c r="P786" i="1"/>
  <c r="P787" i="1" a="1"/>
  <c r="P787" i="1"/>
  <c r="P788" i="1" a="1"/>
  <c r="P788" i="1" s="1"/>
  <c r="P789" i="1" a="1"/>
  <c r="P789" i="1" s="1"/>
  <c r="P790" i="1" a="1"/>
  <c r="P790" i="1"/>
  <c r="P791" i="1" a="1"/>
  <c r="P791" i="1"/>
  <c r="P792" i="1" a="1"/>
  <c r="P792" i="1" s="1"/>
  <c r="P793" i="1" a="1"/>
  <c r="P793" i="1" s="1"/>
  <c r="P794" i="1" a="1"/>
  <c r="P794" i="1"/>
  <c r="P795" i="1" a="1"/>
  <c r="P795" i="1"/>
  <c r="P796" i="1" a="1"/>
  <c r="P796" i="1" s="1"/>
  <c r="P797" i="1" a="1"/>
  <c r="P797" i="1" s="1"/>
  <c r="P798" i="1" a="1"/>
  <c r="P798" i="1"/>
  <c r="P799" i="1" a="1"/>
  <c r="P799" i="1"/>
  <c r="P800" i="1" a="1"/>
  <c r="P800" i="1" s="1"/>
  <c r="P801" i="1" a="1"/>
  <c r="P801" i="1" s="1"/>
  <c r="P802" i="1" a="1"/>
  <c r="P802" i="1"/>
  <c r="P803" i="1" a="1"/>
  <c r="P803" i="1"/>
  <c r="P804" i="1" a="1"/>
  <c r="P804" i="1" s="1"/>
  <c r="P805" i="1" a="1"/>
  <c r="P805" i="1" s="1"/>
  <c r="P806" i="1" a="1"/>
  <c r="P806" i="1"/>
  <c r="P807" i="1" a="1"/>
  <c r="P807" i="1"/>
  <c r="P808" i="1" a="1"/>
  <c r="P808" i="1" s="1"/>
  <c r="P809" i="1" a="1"/>
  <c r="P809" i="1" s="1"/>
  <c r="P810" i="1" a="1"/>
  <c r="P810" i="1"/>
  <c r="P811" i="1" a="1"/>
  <c r="P811" i="1"/>
  <c r="P812" i="1" a="1"/>
  <c r="P812" i="1" s="1"/>
  <c r="P813" i="1" a="1"/>
  <c r="P813" i="1" s="1"/>
  <c r="P814" i="1" a="1"/>
  <c r="P814" i="1"/>
  <c r="P815" i="1" a="1"/>
  <c r="P815" i="1"/>
  <c r="P816" i="1" a="1"/>
  <c r="P816" i="1" s="1"/>
  <c r="P817" i="1" a="1"/>
  <c r="P817" i="1" s="1"/>
  <c r="P818" i="1" a="1"/>
  <c r="P818" i="1"/>
  <c r="P819" i="1" a="1"/>
  <c r="P819" i="1"/>
  <c r="P820" i="1" a="1"/>
  <c r="P820" i="1" s="1"/>
  <c r="P821" i="1" a="1"/>
  <c r="P821" i="1" s="1"/>
  <c r="P822" i="1" a="1"/>
  <c r="P822" i="1"/>
  <c r="P823" i="1" a="1"/>
  <c r="P823" i="1"/>
  <c r="P824" i="1" a="1"/>
  <c r="P824" i="1" s="1"/>
  <c r="P825" i="1" a="1"/>
  <c r="P825" i="1" s="1"/>
  <c r="P826" i="1" a="1"/>
  <c r="P826" i="1"/>
  <c r="P827" i="1" a="1"/>
  <c r="P827" i="1"/>
  <c r="P828" i="1" a="1"/>
  <c r="P828" i="1" s="1"/>
  <c r="P829" i="1" a="1"/>
  <c r="P829" i="1" s="1"/>
  <c r="P830" i="1" a="1"/>
  <c r="P830" i="1"/>
  <c r="P831" i="1" a="1"/>
  <c r="P831" i="1"/>
  <c r="P832" i="1" a="1"/>
  <c r="P832" i="1" s="1"/>
  <c r="P833" i="1" a="1"/>
  <c r="P833" i="1" s="1"/>
  <c r="P834" i="1" a="1"/>
  <c r="P834" i="1"/>
  <c r="P835" i="1" a="1"/>
  <c r="P835" i="1"/>
  <c r="P836" i="1" a="1"/>
  <c r="P836" i="1" s="1"/>
  <c r="P837" i="1" a="1"/>
  <c r="P837" i="1" s="1"/>
  <c r="P838" i="1" a="1"/>
  <c r="P838" i="1"/>
  <c r="P839" i="1" a="1"/>
  <c r="P839" i="1"/>
  <c r="P840" i="1" a="1"/>
  <c r="P840" i="1" s="1"/>
  <c r="P841" i="1" a="1"/>
  <c r="P841" i="1" s="1"/>
  <c r="P842" i="1" a="1"/>
  <c r="P842" i="1"/>
  <c r="P843" i="1" a="1"/>
  <c r="P843" i="1"/>
  <c r="P844" i="1" a="1"/>
  <c r="P844" i="1" s="1"/>
  <c r="P845" i="1" a="1"/>
  <c r="P845" i="1" s="1"/>
  <c r="P846" i="1" a="1"/>
  <c r="P846" i="1"/>
  <c r="P847" i="1" a="1"/>
  <c r="P847" i="1"/>
  <c r="P848" i="1" a="1"/>
  <c r="P848" i="1" s="1"/>
  <c r="P849" i="1" a="1"/>
  <c r="P849" i="1" s="1"/>
  <c r="P850" i="1" a="1"/>
  <c r="P850" i="1"/>
  <c r="P851" i="1" a="1"/>
  <c r="P851" i="1"/>
  <c r="P852" i="1" a="1"/>
  <c r="P852" i="1" s="1"/>
  <c r="P853" i="1" a="1"/>
  <c r="P853" i="1" s="1"/>
  <c r="P854" i="1" a="1"/>
  <c r="P854" i="1"/>
  <c r="P855" i="1" a="1"/>
  <c r="P855" i="1"/>
  <c r="P856" i="1" a="1"/>
  <c r="P856" i="1" s="1"/>
  <c r="P857" i="1" a="1"/>
  <c r="P857" i="1" s="1"/>
  <c r="P858" i="1" a="1"/>
  <c r="P858" i="1"/>
  <c r="P859" i="1" a="1"/>
  <c r="P859" i="1"/>
  <c r="P860" i="1" a="1"/>
  <c r="P860" i="1" s="1"/>
  <c r="P861" i="1" a="1"/>
  <c r="P861" i="1" s="1"/>
  <c r="P862" i="1" a="1"/>
  <c r="P862" i="1"/>
  <c r="P863" i="1" a="1"/>
  <c r="P863" i="1"/>
  <c r="P864" i="1" a="1"/>
  <c r="P864" i="1" s="1"/>
  <c r="P865" i="1" a="1"/>
  <c r="P865" i="1" s="1"/>
  <c r="P866" i="1" a="1"/>
  <c r="P866" i="1"/>
  <c r="P867" i="1" a="1"/>
  <c r="P867" i="1"/>
  <c r="P868" i="1" a="1"/>
  <c r="P868" i="1" s="1"/>
  <c r="P869" i="1" a="1"/>
  <c r="P869" i="1" s="1"/>
  <c r="P870" i="1" a="1"/>
  <c r="P870" i="1"/>
  <c r="P871" i="1" a="1"/>
  <c r="P871" i="1"/>
  <c r="P872" i="1" a="1"/>
  <c r="P872" i="1" s="1"/>
  <c r="P873" i="1" a="1"/>
  <c r="P873" i="1" s="1"/>
  <c r="P874" i="1" a="1"/>
  <c r="P874" i="1"/>
  <c r="P875" i="1" a="1"/>
  <c r="P875" i="1"/>
  <c r="P876" i="1" a="1"/>
  <c r="P876" i="1" s="1"/>
  <c r="P877" i="1" a="1"/>
  <c r="P877" i="1" s="1"/>
  <c r="P878" i="1" a="1"/>
  <c r="P878" i="1"/>
  <c r="P879" i="1" a="1"/>
  <c r="P879" i="1"/>
  <c r="P880" i="1" a="1"/>
  <c r="P880" i="1" s="1"/>
  <c r="P881" i="1" a="1"/>
  <c r="P881" i="1" s="1"/>
  <c r="P882" i="1" a="1"/>
  <c r="P882" i="1"/>
  <c r="P883" i="1" a="1"/>
  <c r="P883" i="1"/>
  <c r="P884" i="1" a="1"/>
  <c r="P884" i="1" s="1"/>
  <c r="P885" i="1" a="1"/>
  <c r="P885" i="1" s="1"/>
  <c r="P886" i="1" a="1"/>
  <c r="P886" i="1"/>
  <c r="P887" i="1" a="1"/>
  <c r="P887" i="1"/>
  <c r="P888" i="1" a="1"/>
  <c r="P888" i="1" s="1"/>
  <c r="P889" i="1" a="1"/>
  <c r="P889" i="1" s="1"/>
  <c r="P890" i="1" a="1"/>
  <c r="P890" i="1"/>
  <c r="P891" i="1" a="1"/>
  <c r="P891" i="1"/>
  <c r="P892" i="1" a="1"/>
  <c r="P892" i="1" s="1"/>
  <c r="P893" i="1" a="1"/>
  <c r="P893" i="1" s="1"/>
  <c r="P894" i="1" a="1"/>
  <c r="P894" i="1"/>
  <c r="P895" i="1" a="1"/>
  <c r="P895" i="1"/>
  <c r="P896" i="1" a="1"/>
  <c r="P896" i="1" s="1"/>
  <c r="P897" i="1" a="1"/>
  <c r="P897" i="1" s="1"/>
  <c r="P898" i="1" a="1"/>
  <c r="P898" i="1"/>
  <c r="P899" i="1" a="1"/>
  <c r="P899" i="1"/>
  <c r="P900" i="1" a="1"/>
  <c r="P900" i="1" s="1"/>
  <c r="P901" i="1" a="1"/>
  <c r="P901" i="1" s="1"/>
  <c r="P902" i="1" a="1"/>
  <c r="P902" i="1"/>
  <c r="P903" i="1" a="1"/>
  <c r="P903" i="1"/>
  <c r="P904" i="1" a="1"/>
  <c r="P904" i="1" s="1"/>
  <c r="P905" i="1" a="1"/>
  <c r="P905" i="1" s="1"/>
  <c r="P906" i="1" a="1"/>
  <c r="P906" i="1"/>
  <c r="P907" i="1" a="1"/>
  <c r="P907" i="1"/>
  <c r="P908" i="1" a="1"/>
  <c r="P908" i="1" s="1"/>
  <c r="P909" i="1" a="1"/>
  <c r="P909" i="1" s="1"/>
  <c r="P910" i="1" a="1"/>
  <c r="P910" i="1"/>
  <c r="P911" i="1" a="1"/>
  <c r="P911" i="1"/>
  <c r="P912" i="1" a="1"/>
  <c r="P912" i="1" s="1"/>
  <c r="P913" i="1" a="1"/>
  <c r="P913" i="1" s="1"/>
  <c r="P914" i="1" a="1"/>
  <c r="P914" i="1"/>
  <c r="P915" i="1" a="1"/>
  <c r="P915" i="1"/>
  <c r="P916" i="1" a="1"/>
  <c r="P916" i="1" s="1"/>
  <c r="P917" i="1" a="1"/>
  <c r="P917" i="1" s="1"/>
  <c r="P918" i="1" a="1"/>
  <c r="P918" i="1"/>
  <c r="P919" i="1" a="1"/>
  <c r="P919" i="1"/>
  <c r="P920" i="1" a="1"/>
  <c r="P920" i="1" s="1"/>
  <c r="P921" i="1" a="1"/>
  <c r="P921" i="1" s="1"/>
  <c r="P922" i="1" a="1"/>
  <c r="P922" i="1"/>
  <c r="P923" i="1" a="1"/>
  <c r="P923" i="1"/>
  <c r="P924" i="1" a="1"/>
  <c r="P924" i="1" s="1"/>
  <c r="P925" i="1" a="1"/>
  <c r="P925" i="1" s="1"/>
  <c r="P926" i="1" a="1"/>
  <c r="P926" i="1"/>
  <c r="P927" i="1" a="1"/>
  <c r="P927" i="1"/>
  <c r="P928" i="1" a="1"/>
  <c r="P928" i="1" s="1"/>
  <c r="P929" i="1" a="1"/>
  <c r="P929" i="1" s="1"/>
  <c r="P930" i="1" a="1"/>
  <c r="P930" i="1"/>
  <c r="P931" i="1" a="1"/>
  <c r="P931" i="1"/>
  <c r="P932" i="1" a="1"/>
  <c r="P932" i="1" s="1"/>
  <c r="P933" i="1" a="1"/>
  <c r="P933" i="1" s="1"/>
  <c r="P934" i="1" a="1"/>
  <c r="P934" i="1"/>
  <c r="P935" i="1" a="1"/>
  <c r="P935" i="1"/>
  <c r="P936" i="1" a="1"/>
  <c r="P936" i="1" s="1"/>
  <c r="P937" i="1" a="1"/>
  <c r="P937" i="1" s="1"/>
  <c r="P938" i="1" a="1"/>
  <c r="P938" i="1"/>
  <c r="P939" i="1" a="1"/>
  <c r="P939" i="1"/>
  <c r="P940" i="1" a="1"/>
  <c r="P940" i="1" s="1"/>
  <c r="P941" i="1" a="1"/>
  <c r="P941" i="1" s="1"/>
  <c r="P942" i="1" a="1"/>
  <c r="P942" i="1"/>
  <c r="P943" i="1" a="1"/>
  <c r="P943" i="1"/>
  <c r="P944" i="1" a="1"/>
  <c r="P944" i="1" s="1"/>
  <c r="P945" i="1" a="1"/>
  <c r="P945" i="1" s="1"/>
  <c r="P946" i="1" a="1"/>
  <c r="P946" i="1"/>
  <c r="P947" i="1" a="1"/>
  <c r="P947" i="1"/>
  <c r="P948" i="1" a="1"/>
  <c r="P948" i="1" s="1"/>
  <c r="P949" i="1" a="1"/>
  <c r="P949" i="1" s="1"/>
  <c r="P950" i="1" a="1"/>
  <c r="P950" i="1"/>
  <c r="P951" i="1" a="1"/>
  <c r="P951" i="1"/>
  <c r="P952" i="1" a="1"/>
  <c r="P952" i="1" s="1"/>
  <c r="P953" i="1" a="1"/>
  <c r="P953" i="1" s="1"/>
  <c r="P954" i="1" a="1"/>
  <c r="P954" i="1"/>
  <c r="P955" i="1" a="1"/>
  <c r="P955" i="1"/>
  <c r="P956" i="1" a="1"/>
  <c r="P956" i="1" s="1"/>
  <c r="P957" i="1" a="1"/>
  <c r="P957" i="1" s="1"/>
  <c r="P958" i="1" a="1"/>
  <c r="P958" i="1"/>
  <c r="P959" i="1" a="1"/>
  <c r="P959" i="1"/>
  <c r="P960" i="1" a="1"/>
  <c r="P960" i="1" s="1"/>
  <c r="P961" i="1" a="1"/>
  <c r="P961" i="1" s="1"/>
  <c r="P962" i="1" a="1"/>
  <c r="P962" i="1"/>
  <c r="P963" i="1" a="1"/>
  <c r="P963" i="1"/>
  <c r="P964" i="1" a="1"/>
  <c r="P964" i="1" s="1"/>
  <c r="P965" i="1" a="1"/>
  <c r="P965" i="1" s="1"/>
  <c r="P966" i="1" a="1"/>
  <c r="P966" i="1"/>
  <c r="P967" i="1" a="1"/>
  <c r="P967" i="1"/>
  <c r="P968" i="1" a="1"/>
  <c r="P968" i="1" s="1"/>
  <c r="P969" i="1" a="1"/>
  <c r="P969" i="1" s="1"/>
  <c r="P970" i="1" a="1"/>
  <c r="P970" i="1"/>
  <c r="P971" i="1" a="1"/>
  <c r="P971" i="1"/>
  <c r="P972" i="1" a="1"/>
  <c r="P972" i="1" s="1"/>
  <c r="P973" i="1" a="1"/>
  <c r="P973" i="1" s="1"/>
  <c r="P974" i="1" a="1"/>
  <c r="P974" i="1"/>
  <c r="P975" i="1" a="1"/>
  <c r="P975" i="1"/>
  <c r="P976" i="1" a="1"/>
  <c r="P976" i="1" s="1"/>
  <c r="P977" i="1" a="1"/>
  <c r="P977" i="1" s="1"/>
  <c r="P978" i="1" a="1"/>
  <c r="P978" i="1"/>
  <c r="P979" i="1" a="1"/>
  <c r="P979" i="1"/>
  <c r="P980" i="1" a="1"/>
  <c r="P980" i="1" s="1"/>
  <c r="P981" i="1" a="1"/>
  <c r="P981" i="1" s="1"/>
  <c r="P982" i="1" a="1"/>
  <c r="P982" i="1"/>
  <c r="P983" i="1" a="1"/>
  <c r="P983" i="1"/>
  <c r="P984" i="1" a="1"/>
  <c r="P984" i="1" s="1"/>
  <c r="P985" i="1" a="1"/>
  <c r="P985" i="1" s="1"/>
  <c r="P986" i="1" a="1"/>
  <c r="P986" i="1"/>
  <c r="P987" i="1" a="1"/>
  <c r="P987" i="1"/>
  <c r="P988" i="1" a="1"/>
  <c r="P988" i="1" s="1"/>
  <c r="P989" i="1" a="1"/>
  <c r="P989" i="1" s="1"/>
  <c r="P990" i="1" a="1"/>
  <c r="P990" i="1"/>
  <c r="P991" i="1" a="1"/>
  <c r="P991" i="1"/>
  <c r="P992" i="1" a="1"/>
  <c r="P992" i="1" s="1"/>
  <c r="P993" i="1" a="1"/>
  <c r="P993" i="1" s="1"/>
  <c r="P994" i="1" a="1"/>
  <c r="P994" i="1"/>
  <c r="P995" i="1" a="1"/>
  <c r="P995" i="1"/>
  <c r="P996" i="1" a="1"/>
  <c r="P996" i="1" s="1"/>
  <c r="P997" i="1" a="1"/>
  <c r="P997" i="1" s="1"/>
  <c r="P998" i="1" a="1"/>
  <c r="P998" i="1"/>
  <c r="P999" i="1" a="1"/>
  <c r="P999" i="1"/>
  <c r="P1000" i="1" a="1"/>
  <c r="P1000" i="1" s="1"/>
  <c r="P1001" i="1" a="1"/>
  <c r="P1001" i="1" s="1"/>
  <c r="P2" i="1" a="1"/>
  <c r="P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S10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V6" i="1" s="1"/>
  <c r="R17" i="1" a="1"/>
  <c r="R17" i="1" s="1"/>
  <c r="S7" i="1"/>
  <c r="S6" i="1"/>
  <c r="V7" i="1" l="1"/>
  <c r="S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<sst xmlns="http://schemas.openxmlformats.org/spreadsheetml/2006/main" count="11059" uniqueCount="2875">
  <si>
    <t>Student ID</t>
  </si>
  <si>
    <t>Name</t>
  </si>
  <si>
    <t>Gender</t>
  </si>
  <si>
    <t>Age</t>
  </si>
  <si>
    <t>School</t>
  </si>
  <si>
    <t>Class</t>
  </si>
  <si>
    <t>Subject</t>
  </si>
  <si>
    <t>Exam Type</t>
  </si>
  <si>
    <t>Score</t>
  </si>
  <si>
    <t>Teacher</t>
  </si>
  <si>
    <t>Pass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</si>
  <si>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</si>
  <si>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</si>
  <si>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</si>
  <si>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</si>
  <si>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</si>
  <si>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</si>
  <si>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</si>
  <si>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</si>
  <si>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</si>
  <si>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</si>
  <si>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</si>
  <si>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</si>
  <si>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</si>
  <si>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</si>
  <si>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</si>
  <si>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</si>
  <si>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</si>
  <si>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</si>
  <si>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</si>
  <si>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</si>
  <si>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</si>
  <si>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</si>
  <si>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</si>
  <si>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</si>
  <si>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</si>
  <si>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</si>
  <si>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</si>
  <si>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</si>
  <si>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</si>
  <si>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</si>
  <si>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</si>
  <si>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</si>
  <si>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</si>
  <si>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</si>
  <si>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</si>
  <si>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</si>
  <si>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</si>
  <si>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</si>
  <si>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</si>
  <si>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</si>
  <si>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</si>
  <si>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</si>
  <si>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</si>
  <si>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</si>
  <si>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</si>
  <si>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</si>
  <si>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</si>
  <si>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</si>
  <si>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</si>
  <si>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</si>
  <si>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</si>
  <si>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</si>
  <si>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</si>
  <si>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</si>
  <si>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</si>
  <si>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</si>
  <si>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</si>
  <si>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</si>
  <si>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</si>
  <si>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</si>
  <si>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</si>
  <si>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</si>
  <si>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</si>
  <si>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</si>
  <si>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</si>
  <si>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</si>
  <si>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</si>
  <si>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</si>
  <si>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</si>
  <si>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</si>
  <si>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</si>
  <si>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</si>
  <si>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</si>
  <si>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</si>
  <si>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</si>
  <si>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</si>
  <si>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</si>
  <si>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</si>
  <si>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</si>
  <si>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</si>
  <si>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</si>
  <si>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</si>
  <si>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</si>
  <si>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</si>
  <si>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</si>
  <si>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</si>
  <si>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</si>
  <si>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</si>
  <si>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</si>
  <si>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</si>
  <si>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</si>
  <si>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</si>
  <si>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</si>
  <si>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</si>
  <si>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</si>
  <si>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</si>
  <si>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</si>
  <si>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</si>
  <si>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</si>
  <si>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</si>
  <si>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</si>
  <si>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</si>
  <si>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</si>
  <si>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</si>
  <si>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</si>
  <si>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</si>
  <si>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</si>
  <si>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</si>
  <si>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</si>
  <si>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</si>
  <si>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</si>
  <si>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</si>
  <si>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</si>
  <si>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</si>
  <si>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</si>
  <si>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</si>
  <si>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</si>
  <si>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</si>
  <si>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</si>
  <si>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</si>
  <si>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</si>
  <si>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</si>
  <si>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</si>
  <si>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</si>
  <si>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</si>
  <si>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</si>
  <si>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</si>
  <si>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</si>
  <si>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</si>
  <si>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</si>
  <si>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</si>
  <si>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</si>
  <si>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</si>
  <si>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</si>
  <si>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</si>
  <si>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</si>
  <si>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</si>
  <si>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</si>
  <si>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</si>
  <si>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</si>
  <si>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</si>
  <si>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</si>
  <si>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</si>
  <si>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</si>
  <si>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</si>
  <si>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</si>
  <si>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</si>
  <si>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</si>
  <si>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</si>
  <si>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</si>
  <si>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</si>
  <si>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</si>
  <si>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</si>
  <si>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</si>
  <si>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</si>
  <si>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</si>
  <si>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</si>
  <si>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</si>
  <si>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</si>
  <si>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</si>
  <si>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</si>
  <si>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</si>
  <si>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</si>
  <si>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</si>
  <si>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</si>
  <si>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</si>
  <si>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</si>
  <si>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</si>
  <si>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</si>
  <si>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</si>
  <si>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</si>
  <si>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</si>
  <si>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</si>
  <si>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</si>
  <si>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</si>
  <si>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</si>
  <si>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</si>
  <si>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</si>
  <si>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</si>
  <si>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</si>
  <si>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</si>
  <si>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</si>
  <si>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</si>
  <si>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</si>
  <si>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</si>
  <si>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</si>
  <si>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</si>
  <si>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</si>
  <si>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</si>
  <si>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</si>
  <si>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</si>
  <si>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</si>
  <si>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</si>
  <si>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</si>
  <si>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</si>
  <si>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</si>
  <si>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</si>
  <si>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</si>
  <si>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</si>
  <si>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</si>
  <si>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</si>
  <si>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</si>
  <si>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</si>
  <si>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</si>
  <si>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</si>
  <si>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</si>
  <si>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</si>
  <si>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</si>
  <si>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</si>
  <si>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</si>
  <si>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</si>
  <si>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</si>
  <si>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</si>
  <si>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</si>
  <si>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</si>
  <si>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</si>
  <si>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</si>
  <si>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</si>
  <si>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</si>
  <si>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</si>
  <si>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</si>
  <si>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</si>
  <si>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</si>
  <si>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</si>
  <si>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</si>
  <si>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</si>
  <si>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</si>
  <si>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</si>
  <si>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</si>
  <si>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</si>
  <si>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</si>
  <si>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</si>
  <si>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</si>
  <si>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</si>
  <si>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</si>
  <si>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</si>
  <si>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</si>
  <si>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</si>
  <si>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</si>
  <si>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</si>
  <si>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</si>
  <si>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</si>
  <si>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</si>
  <si>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</si>
  <si>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</si>
  <si>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</si>
  <si>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</si>
  <si>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</si>
  <si>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</si>
  <si>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</si>
  <si>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</si>
  <si>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</si>
  <si>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</si>
  <si>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</si>
  <si>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</si>
  <si>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</si>
  <si>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</si>
  <si>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</si>
  <si>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</si>
  <si>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</si>
  <si>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</si>
  <si>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</si>
  <si>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</si>
  <si>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</si>
  <si>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</si>
  <si>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</si>
  <si>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</si>
  <si>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</si>
  <si>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</si>
  <si>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</si>
  <si>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</si>
  <si>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</si>
  <si>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</si>
  <si>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</si>
  <si>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</si>
  <si>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</si>
  <si>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</si>
  <si>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</si>
  <si>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</si>
  <si>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</si>
  <si>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</si>
  <si>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</si>
  <si>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</si>
  <si>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</si>
  <si>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</si>
  <si>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</si>
  <si>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</si>
  <si>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</si>
  <si>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</si>
  <si>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</si>
  <si>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</si>
  <si>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</si>
  <si>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</si>
  <si>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</si>
  <si>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</si>
  <si>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</si>
  <si>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</si>
  <si>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</si>
  <si>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</si>
  <si>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</si>
  <si>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</si>
  <si>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</si>
  <si>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</si>
  <si>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</si>
  <si>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</si>
  <si>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</si>
  <si>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</si>
  <si>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</si>
  <si>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</si>
  <si>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</si>
  <si>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</si>
  <si>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</si>
  <si>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</si>
  <si>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</si>
  <si>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</si>
  <si>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</si>
  <si>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</si>
  <si>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</si>
  <si>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</si>
  <si>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</si>
  <si>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</si>
  <si>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</si>
  <si>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</si>
  <si>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</si>
  <si>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</si>
  <si>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</si>
  <si>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</si>
  <si>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</si>
  <si>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</si>
  <si>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</si>
  <si>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</si>
  <si>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</si>
  <si>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</si>
  <si>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</si>
  <si>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</si>
  <si>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</si>
  <si>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</si>
  <si>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</si>
  <si>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</si>
  <si>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</si>
  <si>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</si>
  <si>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</si>
  <si>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</si>
  <si>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</si>
  <si>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</si>
  <si>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</si>
  <si>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</si>
  <si>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</si>
  <si>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</si>
  <si>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</si>
  <si>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</si>
  <si>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</si>
  <si>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</si>
  <si>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</si>
  <si>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</si>
  <si>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</si>
  <si>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</si>
  <si>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</si>
  <si>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</si>
  <si>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</si>
  <si>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</si>
  <si>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</si>
  <si>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</si>
  <si>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</si>
  <si>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</si>
  <si>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</si>
  <si>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</si>
  <si>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</si>
  <si>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</si>
  <si>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</si>
  <si>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</si>
  <si>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</si>
  <si>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</si>
  <si>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</si>
  <si>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</si>
  <si>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</si>
  <si>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</si>
  <si>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</si>
  <si>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</si>
  <si>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</si>
  <si>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</si>
  <si>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</si>
  <si>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</si>
  <si>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</si>
  <si>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</si>
  <si>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</si>
  <si>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</si>
  <si>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</si>
  <si>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</si>
  <si>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</si>
  <si>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</si>
  <si>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</si>
  <si>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</si>
  <si>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</si>
  <si>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</si>
  <si>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</si>
  <si>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</si>
  <si>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</si>
  <si>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</si>
  <si>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</si>
  <si>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</si>
  <si>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</si>
  <si>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</si>
  <si>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</si>
  <si>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</si>
  <si>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</si>
  <si>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</si>
  <si>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</si>
  <si>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</si>
  <si>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</si>
  <si>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</si>
  <si>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</si>
  <si>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</si>
  <si>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</si>
  <si>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</si>
  <si>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</si>
  <si>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</si>
  <si>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</si>
  <si>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</si>
  <si>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</si>
  <si>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</si>
  <si>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</si>
  <si>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</si>
  <si>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</si>
  <si>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</si>
  <si>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</si>
  <si>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</si>
  <si>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</si>
  <si>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</si>
  <si>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</si>
  <si>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</si>
  <si>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</si>
  <si>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</si>
  <si>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</si>
  <si>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</si>
  <si>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</si>
  <si>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</si>
  <si>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</si>
  <si>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</si>
  <si>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</si>
  <si>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</si>
  <si>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</si>
  <si>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</si>
  <si>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</si>
  <si>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</si>
  <si>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</si>
  <si>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</si>
  <si>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</si>
  <si>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</si>
  <si>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</si>
  <si>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</si>
  <si>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</si>
  <si>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</si>
  <si>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</si>
  <si>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</si>
  <si>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</si>
  <si>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</si>
  <si>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</si>
  <si>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</si>
  <si>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</si>
  <si>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</si>
  <si>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</si>
  <si>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</si>
  <si>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</si>
  <si>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</si>
  <si>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</si>
  <si>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</si>
  <si>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</si>
  <si>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</si>
  <si>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</si>
  <si>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</si>
  <si>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</si>
  <si>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</si>
  <si>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</si>
  <si>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</si>
  <si>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</si>
  <si>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</si>
  <si>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</si>
  <si>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</si>
  <si>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</si>
  <si>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</si>
  <si>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</si>
  <si>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</si>
  <si>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</si>
  <si>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</si>
  <si>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</si>
  <si>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</si>
  <si>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</si>
  <si>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</si>
  <si>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</si>
  <si>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</si>
  <si>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</si>
  <si>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</si>
  <si>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</si>
  <si>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</si>
  <si>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</si>
  <si>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</si>
  <si>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</si>
  <si>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</si>
  <si>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</si>
  <si>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</si>
  <si>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</si>
  <si>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</si>
  <si>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</si>
  <si>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</si>
  <si>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</si>
  <si>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</si>
  <si>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</si>
  <si>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</si>
  <si>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</si>
  <si>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</si>
  <si>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</si>
  <si>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</si>
  <si>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</si>
  <si>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</si>
  <si>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</si>
  <si>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</si>
  <si>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</si>
  <si>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</si>
  <si>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</si>
  <si>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</si>
  <si>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</si>
  <si>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</si>
  <si>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</si>
  <si>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</si>
  <si>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</si>
  <si>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</si>
  <si>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</si>
  <si>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</si>
  <si>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</si>
  <si>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</si>
  <si>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</si>
  <si>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</si>
  <si>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</si>
  <si>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</si>
  <si>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</si>
  <si>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</si>
  <si>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</si>
  <si>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</si>
  <si>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</si>
  <si>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</si>
  <si>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</si>
  <si>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</si>
  <si>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</si>
  <si>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</si>
  <si>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</si>
  <si>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</si>
  <si>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</si>
  <si>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</si>
  <si>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</si>
  <si>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</si>
  <si>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</si>
  <si>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</si>
  <si>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</si>
  <si>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</si>
  <si>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</si>
  <si>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</si>
  <si>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</si>
  <si>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</si>
  <si>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</si>
  <si>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</si>
  <si>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</si>
  <si>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</si>
  <si>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</si>
  <si>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</si>
  <si>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</si>
  <si>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</si>
  <si>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</si>
  <si>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</si>
  <si>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</si>
  <si>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</si>
  <si>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</si>
  <si>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</si>
  <si>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</si>
  <si>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</si>
  <si>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</si>
  <si>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</si>
  <si>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</si>
  <si>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</si>
  <si>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</si>
  <si>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</si>
  <si>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</si>
  <si>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</si>
  <si>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</si>
  <si>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</si>
  <si>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</si>
  <si>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</si>
  <si>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</si>
  <si>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</si>
  <si>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</si>
  <si>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</si>
  <si>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</si>
  <si>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</si>
  <si>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</si>
  <si>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</si>
  <si>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</si>
  <si>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</si>
  <si>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</si>
  <si>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</si>
  <si>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</si>
  <si>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</si>
  <si>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</si>
  <si>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</si>
  <si>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</si>
  <si>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</si>
  <si>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</si>
  <si>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</si>
  <si>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</si>
  <si>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</si>
  <si>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</si>
  <si>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</si>
  <si>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</si>
  <si>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</si>
  <si>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</si>
  <si>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</si>
  <si>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</si>
  <si>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</si>
  <si>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</si>
  <si>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</si>
  <si>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</si>
  <si>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</si>
  <si>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</si>
  <si>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</si>
  <si>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</si>
  <si>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</si>
  <si>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</si>
  <si>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</si>
  <si>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</si>
  <si>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</si>
  <si>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</si>
  <si>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</si>
  <si>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</si>
  <si>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</si>
  <si>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</si>
  <si>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</si>
  <si>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</si>
  <si>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</si>
  <si>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</si>
  <si>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</si>
  <si>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</si>
  <si>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</si>
  <si>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</si>
  <si>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</si>
  <si>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</si>
  <si>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</si>
  <si>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</si>
  <si>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</si>
  <si>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</si>
  <si>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</si>
  <si>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</si>
  <si>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</si>
  <si>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</si>
  <si>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</si>
  <si>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</si>
  <si>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</si>
  <si>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</si>
  <si>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</si>
  <si>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</si>
  <si>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</si>
  <si>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</si>
  <si>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</si>
  <si>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</si>
  <si>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</si>
  <si>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</si>
  <si>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</si>
  <si>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</si>
  <si>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</si>
  <si>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</si>
  <si>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</si>
  <si>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</si>
  <si>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</si>
  <si>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</si>
  <si>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</si>
  <si>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</si>
  <si>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</si>
  <si>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</si>
  <si>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</si>
  <si>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</si>
  <si>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</si>
  <si>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</si>
  <si>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</si>
  <si>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</si>
  <si>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</si>
  <si>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</si>
  <si>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</si>
  <si>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</si>
  <si>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</si>
  <si>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</si>
  <si>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</si>
  <si>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</si>
  <si>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</si>
  <si>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</si>
  <si>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</si>
  <si>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</si>
  <si>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</si>
  <si>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</si>
  <si>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</si>
  <si>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</si>
  <si>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</si>
  <si>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</si>
  <si>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</si>
  <si>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</si>
  <si>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</si>
  <si>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</si>
  <si>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</si>
  <si>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</si>
  <si>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</si>
  <si>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</si>
  <si>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</si>
  <si>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</si>
  <si>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</si>
  <si>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</si>
  <si>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</si>
  <si>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</si>
  <si>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</si>
  <si>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</si>
  <si>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</si>
  <si>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</si>
  <si>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</si>
  <si>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</si>
  <si>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</si>
  <si>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</si>
  <si>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</si>
  <si>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</si>
  <si>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</si>
  <si>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</si>
  <si>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</si>
  <si>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</si>
  <si>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</si>
  <si>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</si>
  <si>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</si>
  <si>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</si>
  <si>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</si>
  <si>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</si>
  <si>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</si>
  <si>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</si>
  <si>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</si>
  <si>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</si>
  <si>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</si>
  <si>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</si>
  <si>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</si>
  <si>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</si>
  <si>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</si>
  <si>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</si>
  <si>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</si>
  <si>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</si>
  <si>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</si>
  <si>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</si>
  <si>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</si>
  <si>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</si>
  <si>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</si>
  <si>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</si>
  <si>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</si>
  <si>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</si>
  <si>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</si>
  <si>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</si>
  <si>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</si>
  <si>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</si>
  <si>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</si>
  <si>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</si>
  <si>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</si>
  <si>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</si>
  <si>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</si>
  <si>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</si>
  <si>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</si>
  <si>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</si>
  <si>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</si>
  <si>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</si>
  <si>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</si>
  <si>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</si>
  <si>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</si>
  <si>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</si>
  <si>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</si>
  <si>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</si>
  <si>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</si>
  <si>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</si>
  <si>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</si>
  <si>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</si>
  <si>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</si>
  <si>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</si>
  <si>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</si>
  <si>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</si>
  <si>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</si>
  <si>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</si>
  <si>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</si>
  <si>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</si>
  <si>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</si>
  <si>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</si>
  <si>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</si>
  <si>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</si>
  <si>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</si>
  <si>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</si>
  <si>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</si>
  <si>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</si>
  <si>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</si>
  <si>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</si>
  <si>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</si>
  <si>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</si>
  <si>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</si>
  <si>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</si>
  <si>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</si>
  <si>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</si>
  <si>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</si>
  <si>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</si>
  <si>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</si>
  <si>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</si>
  <si>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</si>
  <si>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</si>
  <si>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</si>
  <si>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</si>
  <si>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</si>
  <si>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</si>
  <si>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</si>
  <si>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</si>
  <si>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</si>
  <si>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</si>
  <si>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</si>
  <si>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</si>
  <si>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</si>
  <si>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</si>
  <si>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</si>
  <si>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</si>
  <si>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</si>
  <si>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</si>
  <si>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</si>
  <si>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</si>
  <si>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</si>
  <si>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</si>
  <si>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</si>
  <si>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</si>
  <si>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</si>
  <si>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</si>
  <si>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</si>
  <si>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</si>
  <si>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</si>
  <si>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</si>
  <si>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</si>
  <si>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</si>
  <si>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</si>
  <si>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</si>
  <si>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</si>
  <si>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</si>
  <si>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</si>
  <si>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</si>
  <si>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</si>
  <si>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</si>
  <si>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</si>
  <si>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</si>
  <si>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</si>
  <si>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</si>
  <si>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</si>
  <si>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</si>
  <si>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</si>
  <si>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</si>
  <si>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</si>
  <si>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</si>
  <si>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</si>
  <si>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</si>
  <si>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</si>
  <si>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</si>
  <si>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</si>
  <si>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</si>
  <si>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</si>
  <si>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</si>
  <si>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</si>
  <si>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</si>
  <si>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</si>
  <si>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</si>
  <si>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</si>
  <si>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</si>
  <si>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</si>
  <si>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</si>
  <si>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</si>
  <si>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</si>
  <si>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</si>
  <si>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</si>
  <si>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</si>
  <si>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</si>
  <si>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</si>
  <si>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</si>
  <si>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</si>
  <si>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</si>
  <si>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</si>
  <si>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</si>
  <si>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</si>
  <si>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</si>
  <si>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</si>
  <si>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</si>
  <si>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</si>
  <si>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</si>
  <si>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</si>
  <si>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</si>
  <si>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</si>
  <si>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</si>
  <si>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</si>
  <si>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</si>
  <si>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</si>
  <si>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</si>
  <si>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</si>
  <si>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</si>
  <si>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</si>
  <si>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</si>
  <si>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</si>
  <si>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</si>
  <si>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</si>
  <si>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</si>
  <si>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</si>
  <si>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</si>
  <si>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</si>
  <si>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</si>
  <si>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</si>
  <si>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</si>
  <si>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</si>
  <si>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</si>
  <si>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</si>
  <si>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</si>
  <si>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</si>
  <si>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</si>
  <si>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</si>
  <si>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</si>
  <si>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</si>
  <si>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</si>
  <si>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</si>
  <si>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</si>
  <si>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</si>
  <si>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</si>
  <si>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</si>
  <si>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</si>
  <si>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</si>
  <si>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</si>
  <si>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</si>
  <si>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</si>
  <si>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</si>
  <si>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</si>
  <si>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</si>
  <si>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</si>
  <si>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</si>
  <si>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</si>
  <si>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</si>
  <si>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</si>
  <si>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</si>
  <si>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</si>
  <si>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</si>
  <si>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</si>
  <si>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</si>
  <si>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</si>
  <si>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</si>
  <si>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</si>
  <si>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</si>
  <si>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</si>
  <si>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</si>
  <si>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</si>
  <si>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</si>
  <si>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</si>
  <si>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</si>
  <si>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</si>
  <si>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</si>
  <si>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</si>
  <si>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</si>
  <si>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</si>
  <si>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</si>
  <si>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</si>
  <si>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</si>
  <si>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</si>
  <si>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</si>
  <si>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</si>
  <si>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</si>
  <si>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</si>
  <si>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</si>
  <si>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</si>
  <si>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</si>
  <si>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</si>
  <si>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</si>
  <si>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</si>
  <si>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</si>
  <si>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</si>
  <si>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</si>
  <si>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</si>
  <si>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</si>
  <si>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</si>
  <si>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</si>
  <si>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</si>
  <si>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</si>
  <si>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</si>
  <si>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</si>
  <si>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</si>
  <si>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</si>
  <si>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</si>
  <si>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</si>
  <si>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</si>
  <si>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</si>
  <si>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</si>
  <si>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</si>
  <si>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</si>
  <si>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</si>
  <si>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</si>
  <si>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</si>
  <si>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</si>
  <si>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</si>
  <si>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</si>
  <si>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Karen Alvarado</t>
  </si>
  <si>
    <t>William Miller</t>
  </si>
  <si>
    <t>Jessica Graham</t>
  </si>
  <si>
    <t>Mr. Michael Page DDS</t>
  </si>
  <si>
    <t>Daniel Vasquez</t>
  </si>
  <si>
    <t>Andrew Torres</t>
  </si>
  <si>
    <t>Thomas Robertson</t>
  </si>
  <si>
    <t>James Clark</t>
  </si>
  <si>
    <t>Jennifer Hale</t>
  </si>
  <si>
    <t>Danielle Lee</t>
  </si>
  <si>
    <t>Benjamin Duffy</t>
  </si>
  <si>
    <t>Teresa Patterson</t>
  </si>
  <si>
    <t>Alexandra Hernandez</t>
  </si>
  <si>
    <t>Christopher Smith</t>
  </si>
  <si>
    <t>Victoria George</t>
  </si>
  <si>
    <t>Michelle Johnson</t>
  </si>
  <si>
    <t>Danielle Campos</t>
  </si>
  <si>
    <t>Jean Lewis</t>
  </si>
  <si>
    <t>Jackie Chapman</t>
  </si>
  <si>
    <t>Gabriella Weber</t>
  </si>
  <si>
    <t>Juan Matthews</t>
  </si>
  <si>
    <t>Mary Graves</t>
  </si>
  <si>
    <t>Austin Lloyd</t>
  </si>
  <si>
    <t>Adam Chavez</t>
  </si>
  <si>
    <t>Susan Walker</t>
  </si>
  <si>
    <t>Billy Jackson</t>
  </si>
  <si>
    <t>Amy Austin MD</t>
  </si>
  <si>
    <t>Angela Phillips</t>
  </si>
  <si>
    <t>Melvin Smith</t>
  </si>
  <si>
    <t>Michelle Macias</t>
  </si>
  <si>
    <t>Patrick Richards</t>
  </si>
  <si>
    <t>Dr. Steven Pittman MD</t>
  </si>
  <si>
    <t>Susan Ortiz</t>
  </si>
  <si>
    <t>Kathy Perry</t>
  </si>
  <si>
    <t>Kathryn Spencer</t>
  </si>
  <si>
    <t>Robert Hanson</t>
  </si>
  <si>
    <t>Carlos Jenkins</t>
  </si>
  <si>
    <t>John Burke</t>
  </si>
  <si>
    <t>Gabriel Perez</t>
  </si>
  <si>
    <t>Nicholas Ross</t>
  </si>
  <si>
    <t>Jessica Cannon</t>
  </si>
  <si>
    <t>Zachary Richard</t>
  </si>
  <si>
    <t>Eugene Stevens</t>
  </si>
  <si>
    <t>Victoria Delacruz</t>
  </si>
  <si>
    <t>Lynn Carroll</t>
  </si>
  <si>
    <t>Matthew Morrison</t>
  </si>
  <si>
    <t>Shane Nichols</t>
  </si>
  <si>
    <t>Timothy Kirk</t>
  </si>
  <si>
    <t>Nicholas Rodriguez DDS</t>
  </si>
  <si>
    <t>Jill Hartman</t>
  </si>
  <si>
    <t>Eric Long</t>
  </si>
  <si>
    <t>Diana Harris</t>
  </si>
  <si>
    <t>Brian Hamilton</t>
  </si>
  <si>
    <t>Jennifer Flores</t>
  </si>
  <si>
    <t>Carol Ramirez</t>
  </si>
  <si>
    <t>Mason Lewis</t>
  </si>
  <si>
    <t>Brenda Barnes</t>
  </si>
  <si>
    <t>Elizabeth Ho</t>
  </si>
  <si>
    <t>Kelsey Smith</t>
  </si>
  <si>
    <t>Julie Montgomery</t>
  </si>
  <si>
    <t>Olivia Ballard</t>
  </si>
  <si>
    <t>Ryan Gonzales</t>
  </si>
  <si>
    <t>Molly Joseph</t>
  </si>
  <si>
    <t>Lisa May</t>
  </si>
  <si>
    <t>Robert Garrett</t>
  </si>
  <si>
    <t>Emily Wilson</t>
  </si>
  <si>
    <t>Charles Andrews</t>
  </si>
  <si>
    <t>Stephanie Thomas</t>
  </si>
  <si>
    <t>Edgar Baker</t>
  </si>
  <si>
    <t>Brad Jones</t>
  </si>
  <si>
    <t>Edward Smith</t>
  </si>
  <si>
    <t>Kara Holland</t>
  </si>
  <si>
    <t>Douglas Kane</t>
  </si>
  <si>
    <t>Robin Smith</t>
  </si>
  <si>
    <t>Robert Baker</t>
  </si>
  <si>
    <t>Emma Brown</t>
  </si>
  <si>
    <t>Stacey Tucker</t>
  </si>
  <si>
    <t>Alicia Webb</t>
  </si>
  <si>
    <t>Ashley Landry</t>
  </si>
  <si>
    <t>Amy Everett</t>
  </si>
  <si>
    <t>Jacob Rodriguez</t>
  </si>
  <si>
    <t>Pamela Johnson</t>
  </si>
  <si>
    <t>Jason Cox</t>
  </si>
  <si>
    <t>Caleb Morris</t>
  </si>
  <si>
    <t>Jeremy Peterson</t>
  </si>
  <si>
    <t>Peter Edwards</t>
  </si>
  <si>
    <t>David Oneill</t>
  </si>
  <si>
    <t>Dominique Bruce</t>
  </si>
  <si>
    <t>Linda Douglas</t>
  </si>
  <si>
    <t>Dawn Gomez</t>
  </si>
  <si>
    <t>Sonya Goodwin</t>
  </si>
  <si>
    <t>Andrea Evans</t>
  </si>
  <si>
    <t>Jared Byrd</t>
  </si>
  <si>
    <t>Jessica Taylor</t>
  </si>
  <si>
    <t>John Wolf</t>
  </si>
  <si>
    <t>Dean Munoz</t>
  </si>
  <si>
    <t>Daniel Robinson</t>
  </si>
  <si>
    <t>Andrea Randall</t>
  </si>
  <si>
    <t>Patrick Gutierrez</t>
  </si>
  <si>
    <t>Roy Figueroa</t>
  </si>
  <si>
    <t>Michael Fitzgerald</t>
  </si>
  <si>
    <t>Kayla Phillips</t>
  </si>
  <si>
    <t>Rachel Williams</t>
  </si>
  <si>
    <t>David Perez</t>
  </si>
  <si>
    <t>Joseph Palmer</t>
  </si>
  <si>
    <t>Carrie Snow</t>
  </si>
  <si>
    <t>John Davis</t>
  </si>
  <si>
    <t>Gabriel Molina</t>
  </si>
  <si>
    <t>Michael Jackson</t>
  </si>
  <si>
    <t>Samantha Brooks</t>
  </si>
  <si>
    <t>Dr. Patrick Hoffman</t>
  </si>
  <si>
    <t>Vincent Murray</t>
  </si>
  <si>
    <t>Sally Frank</t>
  </si>
  <si>
    <t>Patrick Campbell</t>
  </si>
  <si>
    <t>Tyler Roman</t>
  </si>
  <si>
    <t>Melissa Diaz</t>
  </si>
  <si>
    <t>Dana Hutchinson</t>
  </si>
  <si>
    <t>Christopher Evans</t>
  </si>
  <si>
    <t>Jordan Dennis</t>
  </si>
  <si>
    <t>Anna Ball</t>
  </si>
  <si>
    <t>Herbert Crane</t>
  </si>
  <si>
    <t>Christopher Liu</t>
  </si>
  <si>
    <t>Michelle Lozano</t>
  </si>
  <si>
    <t>David Wood</t>
  </si>
  <si>
    <t>Natalie Benson</t>
  </si>
  <si>
    <t>Steven White</t>
  </si>
  <si>
    <t>Kevin Mercado</t>
  </si>
  <si>
    <t>Erin Anderson</t>
  </si>
  <si>
    <t>Timothy Santana</t>
  </si>
  <si>
    <t>Kendra Carroll</t>
  </si>
  <si>
    <t>Alexandra Mahoney</t>
  </si>
  <si>
    <t>Stacey Burgess</t>
  </si>
  <si>
    <t>Brittany Potter</t>
  </si>
  <si>
    <t>Jennifer Harris</t>
  </si>
  <si>
    <t>Scott Romero</t>
  </si>
  <si>
    <t>Kathleen Carter</t>
  </si>
  <si>
    <t>James Sweeney</t>
  </si>
  <si>
    <t>Isaiah Wilson</t>
  </si>
  <si>
    <t>Anne Brown</t>
  </si>
  <si>
    <t>Jimmy Lopez</t>
  </si>
  <si>
    <t>Duane Brown</t>
  </si>
  <si>
    <t>Jessica Johnson</t>
  </si>
  <si>
    <t>Kurt Murphy</t>
  </si>
  <si>
    <t>Eric Jackson</t>
  </si>
  <si>
    <t>Joshua Brown</t>
  </si>
  <si>
    <t>Matthew Case</t>
  </si>
  <si>
    <t>Mario Alvarez</t>
  </si>
  <si>
    <t>Kevin Patel</t>
  </si>
  <si>
    <t>Christopher Coffey</t>
  </si>
  <si>
    <t>Robin Dean</t>
  </si>
  <si>
    <t>Christopher Burgess</t>
  </si>
  <si>
    <t>Margaret Arnold</t>
  </si>
  <si>
    <t>Anthony Martin</t>
  </si>
  <si>
    <t>Madeline Sanchez</t>
  </si>
  <si>
    <t>Donald Smith</t>
  </si>
  <si>
    <t>Jordan Carey</t>
  </si>
  <si>
    <t>Francisco Brown</t>
  </si>
  <si>
    <t>Jessica Harris</t>
  </si>
  <si>
    <t>Scott Williamson</t>
  </si>
  <si>
    <t>Danny Espinoza</t>
  </si>
  <si>
    <t>Melissa Herrera</t>
  </si>
  <si>
    <t>Heather Gaines</t>
  </si>
  <si>
    <t>Samuel Coleman</t>
  </si>
  <si>
    <t>Brian Smith</t>
  </si>
  <si>
    <t>Spencer Russo</t>
  </si>
  <si>
    <t>Kayla Arroyo</t>
  </si>
  <si>
    <t>Nancy Rios</t>
  </si>
  <si>
    <t>Zachary Moore</t>
  </si>
  <si>
    <t>Tracy Yoder</t>
  </si>
  <si>
    <t>Peter Horton</t>
  </si>
  <si>
    <t>Bradley Cox</t>
  </si>
  <si>
    <t>Jennifer Cook</t>
  </si>
  <si>
    <t>Thomas Maynard</t>
  </si>
  <si>
    <t>Zachary Calhoun</t>
  </si>
  <si>
    <t>Jeffrey Swanson</t>
  </si>
  <si>
    <t>Anthony Smith</t>
  </si>
  <si>
    <t>Nathan Zimmerman</t>
  </si>
  <si>
    <t>Karen Campbell</t>
  </si>
  <si>
    <t>Jessica Taylor DDS</t>
  </si>
  <si>
    <t>Shane Irwin</t>
  </si>
  <si>
    <t>Jessica Hardy</t>
  </si>
  <si>
    <t>Shawn Freeman</t>
  </si>
  <si>
    <t>Melissa Callahan</t>
  </si>
  <si>
    <t>Kristen Singleton</t>
  </si>
  <si>
    <t>Isabella Mason</t>
  </si>
  <si>
    <t>Leah Lee</t>
  </si>
  <si>
    <t>Angela Alvarez</t>
  </si>
  <si>
    <t>Yvonne Patton</t>
  </si>
  <si>
    <t>Michael Walker</t>
  </si>
  <si>
    <t>Jeremy Henderson</t>
  </si>
  <si>
    <t>Tina Ruiz</t>
  </si>
  <si>
    <t>Kathleen Benjamin</t>
  </si>
  <si>
    <t>Sarah Thompson</t>
  </si>
  <si>
    <t>Gregory Lynch PhD</t>
  </si>
  <si>
    <t>Wendy Bennett</t>
  </si>
  <si>
    <t>Jordan Murphy</t>
  </si>
  <si>
    <t>Derek Barrera</t>
  </si>
  <si>
    <t>Stephanie Sutton</t>
  </si>
  <si>
    <t>Mark Williams</t>
  </si>
  <si>
    <t>Timothy Moss</t>
  </si>
  <si>
    <t>Jacob Fischer</t>
  </si>
  <si>
    <t>Chelsea Martinez</t>
  </si>
  <si>
    <t>Tiffany Ramirez</t>
  </si>
  <si>
    <t>Kevin Trujillo</t>
  </si>
  <si>
    <t>Jamie Berry</t>
  </si>
  <si>
    <t>Jonathan Lynch</t>
  </si>
  <si>
    <t>Rebecca Castillo</t>
  </si>
  <si>
    <t>Timothy Greene</t>
  </si>
  <si>
    <t>Ashley Kidd</t>
  </si>
  <si>
    <t>Sandra Scott</t>
  </si>
  <si>
    <t>Carol Savage</t>
  </si>
  <si>
    <t>Heather Cruz</t>
  </si>
  <si>
    <t>Shannon Jacobs</t>
  </si>
  <si>
    <t>Kara Douglas DDS</t>
  </si>
  <si>
    <t>Robert Parrish</t>
  </si>
  <si>
    <t>Michelle Williams</t>
  </si>
  <si>
    <t>Cole Tran</t>
  </si>
  <si>
    <t>Jennifer Maddox</t>
  </si>
  <si>
    <t>Robert Cobb</t>
  </si>
  <si>
    <t>Casey Lee</t>
  </si>
  <si>
    <t>Chad Diaz</t>
  </si>
  <si>
    <t>James Bryant</t>
  </si>
  <si>
    <t>Erica Ellis</t>
  </si>
  <si>
    <t>Ariana Cruz</t>
  </si>
  <si>
    <t>Alicia Cruz</t>
  </si>
  <si>
    <t>Kristi Clark</t>
  </si>
  <si>
    <t>Christina Wall</t>
  </si>
  <si>
    <t>Michele Bauer</t>
  </si>
  <si>
    <t>Jeremy Travis</t>
  </si>
  <si>
    <t>Jason Archer</t>
  </si>
  <si>
    <t>Heather Vaughan</t>
  </si>
  <si>
    <t>Heather Mccullough</t>
  </si>
  <si>
    <t>Thomas Diaz</t>
  </si>
  <si>
    <t>Sean Campos</t>
  </si>
  <si>
    <t>Mary Bryant</t>
  </si>
  <si>
    <t>Martin Lucas</t>
  </si>
  <si>
    <t>Mercedes Davis</t>
  </si>
  <si>
    <t>Sean Spencer</t>
  </si>
  <si>
    <t>Alan Morrow</t>
  </si>
  <si>
    <t>Stephanie Edwards</t>
  </si>
  <si>
    <t>Elizabeth Taylor</t>
  </si>
  <si>
    <t>Andrew Mendez</t>
  </si>
  <si>
    <t>Walter Mathis</t>
  </si>
  <si>
    <t>Tabitha Travis</t>
  </si>
  <si>
    <t>Carrie Russell</t>
  </si>
  <si>
    <t>Jennifer Newton</t>
  </si>
  <si>
    <t>Megan Todd</t>
  </si>
  <si>
    <t>Lindsay Dawson</t>
  </si>
  <si>
    <t>Luke Delacruz</t>
  </si>
  <si>
    <t>Heather Werner</t>
  </si>
  <si>
    <t>Shannon Davis</t>
  </si>
  <si>
    <t>Pamela Quinn</t>
  </si>
  <si>
    <t>Cynthia Morris</t>
  </si>
  <si>
    <t>Heather Jones</t>
  </si>
  <si>
    <t>Andrea Floyd</t>
  </si>
  <si>
    <t>Allen Alvarado</t>
  </si>
  <si>
    <t>Samantha Gonzalez</t>
  </si>
  <si>
    <t>Daniel Reynolds</t>
  </si>
  <si>
    <t>Jennifer Russell</t>
  </si>
  <si>
    <t>Debra Adams</t>
  </si>
  <si>
    <t>Garrett Anderson</t>
  </si>
  <si>
    <t>Stephen Strickland</t>
  </si>
  <si>
    <t>Gina Cunningham</t>
  </si>
  <si>
    <t>David Meyer</t>
  </si>
  <si>
    <t>Clifford Holland</t>
  </si>
  <si>
    <t>Maria Hernandez</t>
  </si>
  <si>
    <t>Ashley Ramos</t>
  </si>
  <si>
    <t>Crystal Ponce</t>
  </si>
  <si>
    <t>Jason Morgan</t>
  </si>
  <si>
    <t>Bruce Byrd</t>
  </si>
  <si>
    <t>Christina Gibson</t>
  </si>
  <si>
    <t>Lisa Jones</t>
  </si>
  <si>
    <t>Jeffery Dean</t>
  </si>
  <si>
    <t>Candice Mills</t>
  </si>
  <si>
    <t>Christina Rivera</t>
  </si>
  <si>
    <t>Dylan Ruiz</t>
  </si>
  <si>
    <t>Alexandria Harris</t>
  </si>
  <si>
    <t>Trevor Rush</t>
  </si>
  <si>
    <t>Michael Johnston</t>
  </si>
  <si>
    <t>Levi Morris</t>
  </si>
  <si>
    <t>Gregory Medina</t>
  </si>
  <si>
    <t>Anthony Kennedy</t>
  </si>
  <si>
    <t>Terri Floyd</t>
  </si>
  <si>
    <t>Barbara Price</t>
  </si>
  <si>
    <t>Jessica Ray</t>
  </si>
  <si>
    <t>Thomas Walters</t>
  </si>
  <si>
    <t>Caitlin Hill</t>
  </si>
  <si>
    <t>Renee Myers</t>
  </si>
  <si>
    <t>Holly Turner</t>
  </si>
  <si>
    <t>Kathryn Nunez</t>
  </si>
  <si>
    <t>Sandra Henderson</t>
  </si>
  <si>
    <t>Shawn Moreno</t>
  </si>
  <si>
    <t>Brittney Rose</t>
  </si>
  <si>
    <t>Amber Mcfarland</t>
  </si>
  <si>
    <t>Amanda Henderson</t>
  </si>
  <si>
    <t>Michael Hardy</t>
  </si>
  <si>
    <t>Kathleen Edwards</t>
  </si>
  <si>
    <t>Taylor Velasquez</t>
  </si>
  <si>
    <t>Andrew Jennings</t>
  </si>
  <si>
    <t>Lori Hall</t>
  </si>
  <si>
    <t>Michael Bailey</t>
  </si>
  <si>
    <t>Michael Neal</t>
  </si>
  <si>
    <t>James Taylor</t>
  </si>
  <si>
    <t>Dale Craig</t>
  </si>
  <si>
    <t>Eric Sawyer</t>
  </si>
  <si>
    <t>Denise Cole</t>
  </si>
  <si>
    <t>Paige Barrera</t>
  </si>
  <si>
    <t>Rachel Sanchez</t>
  </si>
  <si>
    <t>Craig Schultz</t>
  </si>
  <si>
    <t>Derek Goodwin</t>
  </si>
  <si>
    <t>David Frank</t>
  </si>
  <si>
    <t>Kathryn Evans</t>
  </si>
  <si>
    <t>Jennifer Miller</t>
  </si>
  <si>
    <t>Eric Gibson</t>
  </si>
  <si>
    <t>Courtney Gray</t>
  </si>
  <si>
    <t>Kyle Ryan</t>
  </si>
  <si>
    <t>Matthew Cruz</t>
  </si>
  <si>
    <t>Richard Perez</t>
  </si>
  <si>
    <t>Kevin Keith</t>
  </si>
  <si>
    <t>David Holmes</t>
  </si>
  <si>
    <t>Douglas Hall</t>
  </si>
  <si>
    <t>Darrell Wilson</t>
  </si>
  <si>
    <t>Elizabeth Hill</t>
  </si>
  <si>
    <t>Christopher Jenkins</t>
  </si>
  <si>
    <t>Elizabeth Williams</t>
  </si>
  <si>
    <t>Mr. Andrew Wilson</t>
  </si>
  <si>
    <t>Henry Jimenez</t>
  </si>
  <si>
    <t>Samantha Ryan</t>
  </si>
  <si>
    <t>Shawn Barajas</t>
  </si>
  <si>
    <t>Carmen Coleman</t>
  </si>
  <si>
    <t>Ryan Phillips</t>
  </si>
  <si>
    <t>Emily Chavez</t>
  </si>
  <si>
    <t>Mr. Louis Harrison</t>
  </si>
  <si>
    <t>Angela Sanchez</t>
  </si>
  <si>
    <t>Jacob Henry</t>
  </si>
  <si>
    <t>Christopher Gallagher</t>
  </si>
  <si>
    <t>Eric Roth</t>
  </si>
  <si>
    <t>Brandi Mcclure</t>
  </si>
  <si>
    <t>Chelsea White</t>
  </si>
  <si>
    <t>Mackenzie Baldwin</t>
  </si>
  <si>
    <t>Jessica Dominguez</t>
  </si>
  <si>
    <t>Michael Benton</t>
  </si>
  <si>
    <t>Andrew Hernandez</t>
  </si>
  <si>
    <t>Matthew Griffin</t>
  </si>
  <si>
    <t>Christopher Robinson</t>
  </si>
  <si>
    <t>Kristin Rodgers</t>
  </si>
  <si>
    <t>Pamela Walker</t>
  </si>
  <si>
    <t>Matthew Price</t>
  </si>
  <si>
    <t>Ronald Knight</t>
  </si>
  <si>
    <t>Andrew Martin</t>
  </si>
  <si>
    <t>Brian Scott</t>
  </si>
  <si>
    <t>John Gordon</t>
  </si>
  <si>
    <t>Rachel Ford</t>
  </si>
  <si>
    <t>Christine Reed</t>
  </si>
  <si>
    <t>Ryan Stevenson</t>
  </si>
  <si>
    <t>Paul Guerrero MD</t>
  </si>
  <si>
    <t>Alicia Cummings</t>
  </si>
  <si>
    <t>Grant Parker</t>
  </si>
  <si>
    <t>Mark Knight</t>
  </si>
  <si>
    <t>Natalie Bowman</t>
  </si>
  <si>
    <t>Michelle Watkins</t>
  </si>
  <si>
    <t>Melissa Reed</t>
  </si>
  <si>
    <t>Denise Mckee</t>
  </si>
  <si>
    <t>Jordan Chase</t>
  </si>
  <si>
    <t>Melissa Smith</t>
  </si>
  <si>
    <t>Billy Grant</t>
  </si>
  <si>
    <t>Tyler Sweeney</t>
  </si>
  <si>
    <t>Jeffrey Coleman</t>
  </si>
  <si>
    <t>Aaron Tran</t>
  </si>
  <si>
    <t>Justin Taylor</t>
  </si>
  <si>
    <t>Anne May</t>
  </si>
  <si>
    <t>Russell Reeves</t>
  </si>
  <si>
    <t>Matthew Ortiz</t>
  </si>
  <si>
    <t>Jacqueline Diaz</t>
  </si>
  <si>
    <t>Stephanie Jackson</t>
  </si>
  <si>
    <t>Travis Carter</t>
  </si>
  <si>
    <t>Stephen Caldwell</t>
  </si>
  <si>
    <t>Melissa Gonzalez</t>
  </si>
  <si>
    <t>Kayla Gray</t>
  </si>
  <si>
    <t>James Stewart</t>
  </si>
  <si>
    <t>Peter Sullivan</t>
  </si>
  <si>
    <t>Roy Gonzalez</t>
  </si>
  <si>
    <t>James King</t>
  </si>
  <si>
    <t>Heather Riggs</t>
  </si>
  <si>
    <t>Zachary Pena</t>
  </si>
  <si>
    <t>David Herman</t>
  </si>
  <si>
    <t>Laura Hoffman</t>
  </si>
  <si>
    <t>Paige Parker</t>
  </si>
  <si>
    <t>Mary Doyle</t>
  </si>
  <si>
    <t>Javier Torres</t>
  </si>
  <si>
    <t>Tonya Hill</t>
  </si>
  <si>
    <t>Mrs. Sara King DDS</t>
  </si>
  <si>
    <t>Elizabeth Graham</t>
  </si>
  <si>
    <t>Samantha Miller</t>
  </si>
  <si>
    <t>Nicole Simpson</t>
  </si>
  <si>
    <t>Molly Roberson</t>
  </si>
  <si>
    <t>Raymond Wilson</t>
  </si>
  <si>
    <t>Gregory Bullock</t>
  </si>
  <si>
    <t>Sarah Hall</t>
  </si>
  <si>
    <t>Melissa Johnston</t>
  </si>
  <si>
    <t>Amanda Bradford</t>
  </si>
  <si>
    <t>Miguel Watson PhD</t>
  </si>
  <si>
    <t>John Jacobs</t>
  </si>
  <si>
    <t>Karen Osborn</t>
  </si>
  <si>
    <t>Sarah Cox</t>
  </si>
  <si>
    <t>Gary Valencia</t>
  </si>
  <si>
    <t>Rebecca Stein</t>
  </si>
  <si>
    <t>Dustin Black</t>
  </si>
  <si>
    <t>Casey Liu</t>
  </si>
  <si>
    <t>Kathleen Brown</t>
  </si>
  <si>
    <t>Mark Decker</t>
  </si>
  <si>
    <t>David Woods</t>
  </si>
  <si>
    <t>Linda Whitehead</t>
  </si>
  <si>
    <t>Christopher Sawyer</t>
  </si>
  <si>
    <t>Vickie Ramirez</t>
  </si>
  <si>
    <t>Randall Moon</t>
  </si>
  <si>
    <t>Robert Taylor</t>
  </si>
  <si>
    <t>Bradley Stephens</t>
  </si>
  <si>
    <t>Amanda Mcdonald MD</t>
  </si>
  <si>
    <t>Charles Gonzalez</t>
  </si>
  <si>
    <t>Samantha Kelly</t>
  </si>
  <si>
    <t>Mark Wright</t>
  </si>
  <si>
    <t>Michelle Rhodes</t>
  </si>
  <si>
    <t>Melinda Leblanc</t>
  </si>
  <si>
    <t>Sandra Perez</t>
  </si>
  <si>
    <t>Philip Manning</t>
  </si>
  <si>
    <t>Mark Stevens</t>
  </si>
  <si>
    <t>Amy Ruiz</t>
  </si>
  <si>
    <t>Jennifer Boone</t>
  </si>
  <si>
    <t>Joseph Mitchell</t>
  </si>
  <si>
    <t>Scott Robertson</t>
  </si>
  <si>
    <t>Phyllis Perez</t>
  </si>
  <si>
    <t>Sarah Dickerson</t>
  </si>
  <si>
    <t>Tyler Wolfe</t>
  </si>
  <si>
    <t>Megan Webb</t>
  </si>
  <si>
    <t>Laura Bowen</t>
  </si>
  <si>
    <t>Keith Floyd</t>
  </si>
  <si>
    <t>James Smith</t>
  </si>
  <si>
    <t>Marissa Ray</t>
  </si>
  <si>
    <t>Sandra Gonzalez</t>
  </si>
  <si>
    <t>Jennifer Smith</t>
  </si>
  <si>
    <t>Ms. Wendy Parks</t>
  </si>
  <si>
    <t>Joy Jenkins</t>
  </si>
  <si>
    <t>Misty Clarke</t>
  </si>
  <si>
    <t>Terri Jordan</t>
  </si>
  <si>
    <t>Danielle Kemp</t>
  </si>
  <si>
    <t>Ashley Whitaker</t>
  </si>
  <si>
    <t>Alicia Olson</t>
  </si>
  <si>
    <t>Paul Blackburn</t>
  </si>
  <si>
    <t>Victoria Mejia</t>
  </si>
  <si>
    <t>Hannah Dixon</t>
  </si>
  <si>
    <t>Christopher Clements</t>
  </si>
  <si>
    <t>John Hall</t>
  </si>
  <si>
    <t>Dr. Samuel Le</t>
  </si>
  <si>
    <t>Christopher Williams</t>
  </si>
  <si>
    <t>Chase May</t>
  </si>
  <si>
    <t>Karina Allen</t>
  </si>
  <si>
    <t>Andre Barber</t>
  </si>
  <si>
    <t>Tara Johnson</t>
  </si>
  <si>
    <t>Joseph Hanna</t>
  </si>
  <si>
    <t>Andrew Sanchez</t>
  </si>
  <si>
    <t>Melissa Wall</t>
  </si>
  <si>
    <t>Rachel Rose</t>
  </si>
  <si>
    <t>Lance Dixon</t>
  </si>
  <si>
    <t>Steven Allen</t>
  </si>
  <si>
    <t>Jean Kennedy</t>
  </si>
  <si>
    <t>Erin Church</t>
  </si>
  <si>
    <t>Andrew Thompson</t>
  </si>
  <si>
    <t>Michael Dudley</t>
  </si>
  <si>
    <t>Alicia Lester</t>
  </si>
  <si>
    <t>Bethany Miller</t>
  </si>
  <si>
    <t>Brian Grant</t>
  </si>
  <si>
    <t>Aaron Washington</t>
  </si>
  <si>
    <t>James Barron</t>
  </si>
  <si>
    <t>Lisa Parker</t>
  </si>
  <si>
    <t>Jodi Mccall</t>
  </si>
  <si>
    <t>Jonathan Nguyen</t>
  </si>
  <si>
    <t>Jonathan Johnson</t>
  </si>
  <si>
    <t>Gregory Lee</t>
  </si>
  <si>
    <t>Jasmine Peterson</t>
  </si>
  <si>
    <t>Tanya Flores</t>
  </si>
  <si>
    <t>Kathleen Key</t>
  </si>
  <si>
    <t>Brian Garrett</t>
  </si>
  <si>
    <t>Brandon Barrera</t>
  </si>
  <si>
    <t>Denise Thompson</t>
  </si>
  <si>
    <t>Benjamin Johnson</t>
  </si>
  <si>
    <t>Justin Brennan</t>
  </si>
  <si>
    <t>Monica Parrish</t>
  </si>
  <si>
    <t>Richard Miller</t>
  </si>
  <si>
    <t>Carrie Bates</t>
  </si>
  <si>
    <t>Kimberly Goodwin</t>
  </si>
  <si>
    <t>Bobby Beck</t>
  </si>
  <si>
    <t>Joshua Ruiz</t>
  </si>
  <si>
    <t>Elizabeth Knight</t>
  </si>
  <si>
    <t>Jessica Gutierrez</t>
  </si>
  <si>
    <t>Mark Hurst</t>
  </si>
  <si>
    <t>Erica Davis</t>
  </si>
  <si>
    <t>Nathan Russell</t>
  </si>
  <si>
    <t>Diane Barker</t>
  </si>
  <si>
    <t>April Griffin</t>
  </si>
  <si>
    <t>Alyssa Johnson</t>
  </si>
  <si>
    <t>Michael Rodgers</t>
  </si>
  <si>
    <t>Brian Kim</t>
  </si>
  <si>
    <t>Eric Webb</t>
  </si>
  <si>
    <t>Sarah Miller</t>
  </si>
  <si>
    <t>Rachel Willis</t>
  </si>
  <si>
    <t>Benjamin Randall</t>
  </si>
  <si>
    <t>Jason Richardson</t>
  </si>
  <si>
    <t>Steven Richards</t>
  </si>
  <si>
    <t>Megan Mcintosh</t>
  </si>
  <si>
    <t>Tracy Jackson</t>
  </si>
  <si>
    <t>Alexandria Fritz</t>
  </si>
  <si>
    <t>Andrew Burton</t>
  </si>
  <si>
    <t>Bradley Collins</t>
  </si>
  <si>
    <t>James Ryan</t>
  </si>
  <si>
    <t>James Kennedy</t>
  </si>
  <si>
    <t>Sara Curry</t>
  </si>
  <si>
    <t>Christopher Garrison</t>
  </si>
  <si>
    <t>Savannah Martin</t>
  </si>
  <si>
    <t>Leslie Rice</t>
  </si>
  <si>
    <t>David Taylor</t>
  </si>
  <si>
    <t>Rachel Larsen</t>
  </si>
  <si>
    <t>Brian Robinson</t>
  </si>
  <si>
    <t>Christopher Anderson</t>
  </si>
  <si>
    <t>Justin Peterson</t>
  </si>
  <si>
    <t>David Davis Jr.</t>
  </si>
  <si>
    <t>Jessica Gomez</t>
  </si>
  <si>
    <t>Kenneth Nichols</t>
  </si>
  <si>
    <t>Randy Rios</t>
  </si>
  <si>
    <t>Kristine Stewart</t>
  </si>
  <si>
    <t>Robert Williams</t>
  </si>
  <si>
    <t>Sarah Nguyen</t>
  </si>
  <si>
    <t>Jason Hicks</t>
  </si>
  <si>
    <t>Jeff Barrett</t>
  </si>
  <si>
    <t>Felicia Wilson</t>
  </si>
  <si>
    <t>Amanda Carter</t>
  </si>
  <si>
    <t>John Sanchez</t>
  </si>
  <si>
    <t>Frank Braun</t>
  </si>
  <si>
    <t>Corey Guzman</t>
  </si>
  <si>
    <t>Jose Martin</t>
  </si>
  <si>
    <t>John Rivera</t>
  </si>
  <si>
    <t>Tristan Frazier</t>
  </si>
  <si>
    <t>Laura Waller</t>
  </si>
  <si>
    <t>Dawn James</t>
  </si>
  <si>
    <t>William Spence</t>
  </si>
  <si>
    <t>Shelby Boyd</t>
  </si>
  <si>
    <t>Cheryl Reynolds</t>
  </si>
  <si>
    <t>Tammy Williams</t>
  </si>
  <si>
    <t>Thomas Schmidt</t>
  </si>
  <si>
    <t>Brenda Wong</t>
  </si>
  <si>
    <t>Marissa May</t>
  </si>
  <si>
    <t>Joseph Rich</t>
  </si>
  <si>
    <t>Michael Jenkins</t>
  </si>
  <si>
    <t>Joseph Lewis</t>
  </si>
  <si>
    <t>Hannah Larson</t>
  </si>
  <si>
    <t>Alex Skinner</t>
  </si>
  <si>
    <t>Whitney Vincent</t>
  </si>
  <si>
    <t>Alice Myers</t>
  </si>
  <si>
    <t>Melissa Shaffer</t>
  </si>
  <si>
    <t>Danielle Allen</t>
  </si>
  <si>
    <t>Justin Knight</t>
  </si>
  <si>
    <t>Gabriel Hudson</t>
  </si>
  <si>
    <t>Kimberly Vega</t>
  </si>
  <si>
    <t>David Moore</t>
  </si>
  <si>
    <t>Miranda Bennett</t>
  </si>
  <si>
    <t>Jared Martin</t>
  </si>
  <si>
    <t>Roger Cole</t>
  </si>
  <si>
    <t>James Miller</t>
  </si>
  <si>
    <t>Justin Lam</t>
  </si>
  <si>
    <t>Samantha Mcmillan</t>
  </si>
  <si>
    <t>Larry Lynch</t>
  </si>
  <si>
    <t>Mason Smith</t>
  </si>
  <si>
    <t>David Mendoza</t>
  </si>
  <si>
    <t>Bradley Johnson</t>
  </si>
  <si>
    <t>Michele Shaw</t>
  </si>
  <si>
    <t>Shawn Lopez</t>
  </si>
  <si>
    <t>Riley Branch</t>
  </si>
  <si>
    <t>April Fernandez</t>
  </si>
  <si>
    <t>Timothy Johnson</t>
  </si>
  <si>
    <t>Victoria Williams</t>
  </si>
  <si>
    <t>Thomas Peters</t>
  </si>
  <si>
    <t>Phillip Walker</t>
  </si>
  <si>
    <t>Benjamin Gomez</t>
  </si>
  <si>
    <t>Ryan Nelson</t>
  </si>
  <si>
    <t>Melissa English</t>
  </si>
  <si>
    <t>Sara Parker</t>
  </si>
  <si>
    <t>Miguel Harvey</t>
  </si>
  <si>
    <t>Melissa Russo</t>
  </si>
  <si>
    <t>Veronica Thomas</t>
  </si>
  <si>
    <t>Melissa Walker</t>
  </si>
  <si>
    <t>Curtis Beltran</t>
  </si>
  <si>
    <t>Kathryn Erickson</t>
  </si>
  <si>
    <t>Richard Barron</t>
  </si>
  <si>
    <t>Mr. Jonathan Johnson</t>
  </si>
  <si>
    <t>Jessica Norton</t>
  </si>
  <si>
    <t>Timothy Ross</t>
  </si>
  <si>
    <t>Megan Thomas</t>
  </si>
  <si>
    <t>Nathan Pena</t>
  </si>
  <si>
    <t>Katherine Carson</t>
  </si>
  <si>
    <t>Lisa Cummings</t>
  </si>
  <si>
    <t>Todd Hopkins</t>
  </si>
  <si>
    <t>Michael Juarez</t>
  </si>
  <si>
    <t>Robert Huang</t>
  </si>
  <si>
    <t>Olivia Kaufman</t>
  </si>
  <si>
    <t>Katie Kline</t>
  </si>
  <si>
    <t>Tara Murphy</t>
  </si>
  <si>
    <t>Robert Hall</t>
  </si>
  <si>
    <t>Carol Hartman</t>
  </si>
  <si>
    <t>Robert Cook</t>
  </si>
  <si>
    <t>Thomas May</t>
  </si>
  <si>
    <t>Daniel Tran</t>
  </si>
  <si>
    <t>Colin Ramirez</t>
  </si>
  <si>
    <t>Antonio Garcia</t>
  </si>
  <si>
    <t>Kimberly Roberts</t>
  </si>
  <si>
    <t>Joseph Myers</t>
  </si>
  <si>
    <t>Christina Flores</t>
  </si>
  <si>
    <t>Krystal Salinas</t>
  </si>
  <si>
    <t>Mark Mcdaniel</t>
  </si>
  <si>
    <t>Dorothy Garcia</t>
  </si>
  <si>
    <t>Veronica Baldwin</t>
  </si>
  <si>
    <t>Michael Shelton</t>
  </si>
  <si>
    <t>Marilyn Doyle</t>
  </si>
  <si>
    <t>Kayla Thomas</t>
  </si>
  <si>
    <t>Craig Fischer</t>
  </si>
  <si>
    <t>Kent Rosales</t>
  </si>
  <si>
    <t>Antonio Morton</t>
  </si>
  <si>
    <t>James Hahn</t>
  </si>
  <si>
    <t>Chelsea Brown</t>
  </si>
  <si>
    <t>Natasha Farley</t>
  </si>
  <si>
    <t>Amy Martinez</t>
  </si>
  <si>
    <t>Casey Williams</t>
  </si>
  <si>
    <t>Elizabeth King</t>
  </si>
  <si>
    <t>Stacy Newton</t>
  </si>
  <si>
    <t>Robert Clark</t>
  </si>
  <si>
    <t>Michele Martinez</t>
  </si>
  <si>
    <t>Tracey Gould</t>
  </si>
  <si>
    <t>Anthony Wagner DDS</t>
  </si>
  <si>
    <t>Joshua Knox</t>
  </si>
  <si>
    <t>Lisa Arias</t>
  </si>
  <si>
    <t>Nicole Brooks</t>
  </si>
  <si>
    <t>Jeffery Bond</t>
  </si>
  <si>
    <t>Phillip Moore</t>
  </si>
  <si>
    <t>Megan Maynard</t>
  </si>
  <si>
    <t>Joy Moore</t>
  </si>
  <si>
    <t>Julie Owens</t>
  </si>
  <si>
    <t>Kimberly Riley</t>
  </si>
  <si>
    <t>Peter Whitaker</t>
  </si>
  <si>
    <t>Mary Mcmahon</t>
  </si>
  <si>
    <t>Mark Ortiz</t>
  </si>
  <si>
    <t>Daniel Williams</t>
  </si>
  <si>
    <t>Christopher Olson</t>
  </si>
  <si>
    <t>Shawn Mcdowell</t>
  </si>
  <si>
    <t>Peter Byrd</t>
  </si>
  <si>
    <t>Henry Montgomery</t>
  </si>
  <si>
    <t>Steven Walker</t>
  </si>
  <si>
    <t>Rebecca Nielsen</t>
  </si>
  <si>
    <t>Adam Thompson</t>
  </si>
  <si>
    <t>Andrew Vasquez</t>
  </si>
  <si>
    <t>Marie Hernandez</t>
  </si>
  <si>
    <t>John King</t>
  </si>
  <si>
    <t>Tracy Gallegos</t>
  </si>
  <si>
    <t>Brian Ingram</t>
  </si>
  <si>
    <t>Joe Williams</t>
  </si>
  <si>
    <t>John Roman</t>
  </si>
  <si>
    <t>Evelyn Powers</t>
  </si>
  <si>
    <t>Allison Simpson</t>
  </si>
  <si>
    <t>Christopher Marsh</t>
  </si>
  <si>
    <t>Christine Holmes</t>
  </si>
  <si>
    <t>Mrs. Lori Russell</t>
  </si>
  <si>
    <t>Peter Lara</t>
  </si>
  <si>
    <t>Jessica Lucas</t>
  </si>
  <si>
    <t>Diane Woods</t>
  </si>
  <si>
    <t>Amy Shelton</t>
  </si>
  <si>
    <t>Tina Wright</t>
  </si>
  <si>
    <t>Sandra Jones</t>
  </si>
  <si>
    <t>Sydney Cabrera</t>
  </si>
  <si>
    <t>Chelsey Kim</t>
  </si>
  <si>
    <t>Brian Collins</t>
  </si>
  <si>
    <t>Christopher Foster</t>
  </si>
  <si>
    <t>Kimberly Bailey</t>
  </si>
  <si>
    <t>Gary Nicholson</t>
  </si>
  <si>
    <t>Christian Rose</t>
  </si>
  <si>
    <t>Patrick Briggs</t>
  </si>
  <si>
    <t>Tina Duarte</t>
  </si>
  <si>
    <t>Nicole Elliott</t>
  </si>
  <si>
    <t>John Williams</t>
  </si>
  <si>
    <t>Shelby Glass</t>
  </si>
  <si>
    <t>Stephanie Brown</t>
  </si>
  <si>
    <t>Jordan Watkins</t>
  </si>
  <si>
    <t>Heidi Garcia</t>
  </si>
  <si>
    <t>Rodney Howard</t>
  </si>
  <si>
    <t>Andrew Nunez</t>
  </si>
  <si>
    <t>Matthew Wallace</t>
  </si>
  <si>
    <t>Erin Fowler</t>
  </si>
  <si>
    <t>Drew Patterson</t>
  </si>
  <si>
    <t>Lauren Branch</t>
  </si>
  <si>
    <t>Matthew Frank</t>
  </si>
  <si>
    <t>Karen Thomas</t>
  </si>
  <si>
    <t>William Smith</t>
  </si>
  <si>
    <t>Cameron Morrison</t>
  </si>
  <si>
    <t>Michael Chavez</t>
  </si>
  <si>
    <t>Jonathon Jackson</t>
  </si>
  <si>
    <t>Aaron Roberts</t>
  </si>
  <si>
    <t>Julia Murphy</t>
  </si>
  <si>
    <t>Robert Hines</t>
  </si>
  <si>
    <t>Susan Waller</t>
  </si>
  <si>
    <t>Joshua Ross</t>
  </si>
  <si>
    <t>Michael Carrillo</t>
  </si>
  <si>
    <t>John Lewis</t>
  </si>
  <si>
    <t>Emily Martin</t>
  </si>
  <si>
    <t>Jason Rodriguez</t>
  </si>
  <si>
    <t>Ashlee Hill</t>
  </si>
  <si>
    <t>Amy Ortega</t>
  </si>
  <si>
    <t>Brittney Walker</t>
  </si>
  <si>
    <t>Debra Dickerson</t>
  </si>
  <si>
    <t>Theresa Green</t>
  </si>
  <si>
    <t>Kathryn Bryan</t>
  </si>
  <si>
    <t>Brenda Lee</t>
  </si>
  <si>
    <t>Amanda Conner</t>
  </si>
  <si>
    <t>Suzanne Nguyen</t>
  </si>
  <si>
    <t>Ashley Carlson</t>
  </si>
  <si>
    <t>Jason Jones</t>
  </si>
  <si>
    <t>Jennifer Porter</t>
  </si>
  <si>
    <t>Jonathan Hall</t>
  </si>
  <si>
    <t>Paige Mcintosh</t>
  </si>
  <si>
    <t>Henry Diaz</t>
  </si>
  <si>
    <t>Carlos Gallagher</t>
  </si>
  <si>
    <t>Travis Jackson</t>
  </si>
  <si>
    <t>Stephen Flores</t>
  </si>
  <si>
    <t>Julie Douglas</t>
  </si>
  <si>
    <t>Robert Fields</t>
  </si>
  <si>
    <t>Jennifer Austin</t>
  </si>
  <si>
    <t>Francisco Johnson</t>
  </si>
  <si>
    <t>Sandra Hood</t>
  </si>
  <si>
    <t>Benjamin Bush</t>
  </si>
  <si>
    <t>Amanda Obrien</t>
  </si>
  <si>
    <t>Sophia Merritt</t>
  </si>
  <si>
    <t>Tyler Patel</t>
  </si>
  <si>
    <t>Lisa Martinez</t>
  </si>
  <si>
    <t>Jennifer Griffin</t>
  </si>
  <si>
    <t>Rachel Alvarado</t>
  </si>
  <si>
    <t>Chad Jones</t>
  </si>
  <si>
    <t>Michele Johnson</t>
  </si>
  <si>
    <t>Christopher Russell</t>
  </si>
  <si>
    <t>Megan Jacobs</t>
  </si>
  <si>
    <t>Diana Hernandez</t>
  </si>
  <si>
    <t>Carlos Moore</t>
  </si>
  <si>
    <t>Lisa Becker</t>
  </si>
  <si>
    <t>Mariah Flowers</t>
  </si>
  <si>
    <t>George Lewis</t>
  </si>
  <si>
    <t>Loretta White</t>
  </si>
  <si>
    <t>Mary Kelly</t>
  </si>
  <si>
    <t>Anthony Hendricks</t>
  </si>
  <si>
    <t>Bruce Ramos</t>
  </si>
  <si>
    <t>Mary Padilla</t>
  </si>
  <si>
    <t>Jenna Black</t>
  </si>
  <si>
    <t>Danielle Howard</t>
  </si>
  <si>
    <t>Jessica Sims</t>
  </si>
  <si>
    <t>Matthew Willis</t>
  </si>
  <si>
    <t>Jason Jenkins Jr.</t>
  </si>
  <si>
    <t>Mark Burns</t>
  </si>
  <si>
    <t>Emily Zavala</t>
  </si>
  <si>
    <t>Angela Curtis</t>
  </si>
  <si>
    <t>Donald Salazar</t>
  </si>
  <si>
    <t>Tony Harris</t>
  </si>
  <si>
    <t>Heidi Barrera</t>
  </si>
  <si>
    <t>Jean Cook</t>
  </si>
  <si>
    <t>Terry Jackson MD</t>
  </si>
  <si>
    <t>Omar Young</t>
  </si>
  <si>
    <t>Allison Garner</t>
  </si>
  <si>
    <t>Danielle Stephens</t>
  </si>
  <si>
    <t>Brett Evans</t>
  </si>
  <si>
    <t>Anna Campbell</t>
  </si>
  <si>
    <t>Anne Fernandez</t>
  </si>
  <si>
    <t>Anna Farley</t>
  </si>
  <si>
    <t>Robert Burnett</t>
  </si>
  <si>
    <t>Alejandro Simpson</t>
  </si>
  <si>
    <t>Kimberly Rogers</t>
  </si>
  <si>
    <t>Tracy Walker</t>
  </si>
  <si>
    <t>Elizabeth Gray</t>
  </si>
  <si>
    <t>Anna Shaw</t>
  </si>
  <si>
    <t>Michael Morris Jr.</t>
  </si>
  <si>
    <t>Dominique Diaz</t>
  </si>
  <si>
    <t>Spencer Gilbert</t>
  </si>
  <si>
    <t>Susan Blackwell</t>
  </si>
  <si>
    <t>Mikayla Brown</t>
  </si>
  <si>
    <t>Nancy Harris</t>
  </si>
  <si>
    <t>Lisa Frank</t>
  </si>
  <si>
    <t>Mr. Joshua Thornton DDS</t>
  </si>
  <si>
    <t>Joshua Franco</t>
  </si>
  <si>
    <t>Sara Johnson</t>
  </si>
  <si>
    <t>Kevin Johnson</t>
  </si>
  <si>
    <t>Hunter Sanchez</t>
  </si>
  <si>
    <t>Sylvia Villa</t>
  </si>
  <si>
    <t>Caitlin Mcclure</t>
  </si>
  <si>
    <t>Stacie Mason</t>
  </si>
  <si>
    <t>Tyler Brown</t>
  </si>
  <si>
    <t>Sharon Murphy</t>
  </si>
  <si>
    <t>George Gordon</t>
  </si>
  <si>
    <t>Mark Simon</t>
  </si>
  <si>
    <t>Debbie Anthony</t>
  </si>
  <si>
    <t>Amanda Hernandez</t>
  </si>
  <si>
    <t>Mrs. Ashley Stuart</t>
  </si>
  <si>
    <t>Jordan Dominguez</t>
  </si>
  <si>
    <t>Savannah Castro</t>
  </si>
  <si>
    <t>Kevin Stone</t>
  </si>
  <si>
    <t>Tina Smith DVM</t>
  </si>
  <si>
    <t>Jason Myers Jr.</t>
  </si>
  <si>
    <t>Diamond Nguyen</t>
  </si>
  <si>
    <t>Laurie Bishop</t>
  </si>
  <si>
    <t>Scott Foster</t>
  </si>
  <si>
    <t>Dr. Stephanie Nelson</t>
  </si>
  <si>
    <t>Lindsey Howard</t>
  </si>
  <si>
    <t>Jessica Cruz MD</t>
  </si>
  <si>
    <t>Jennifer Davis</t>
  </si>
  <si>
    <t>Philip Fowler</t>
  </si>
  <si>
    <t>Tammie Perez</t>
  </si>
  <si>
    <t>John Fisher</t>
  </si>
  <si>
    <t>Jason Rogers</t>
  </si>
  <si>
    <t>Sean Boyd</t>
  </si>
  <si>
    <t>Robert Johnson</t>
  </si>
  <si>
    <t>Miguel Smith</t>
  </si>
  <si>
    <t>Paul Spencer</t>
  </si>
  <si>
    <t>Kenneth Ware</t>
  </si>
  <si>
    <t>David Collins</t>
  </si>
  <si>
    <t>Angela Hernandez</t>
  </si>
  <si>
    <t>Dustin Ramsey</t>
  </si>
  <si>
    <t>George Mccoy</t>
  </si>
  <si>
    <t>Christy Barrett</t>
  </si>
  <si>
    <t>Renee Smith</t>
  </si>
  <si>
    <t>David Williams</t>
  </si>
  <si>
    <t>Andrew Lambert</t>
  </si>
  <si>
    <t>Christopher Pham</t>
  </si>
  <si>
    <t>Alyssa Franklin</t>
  </si>
  <si>
    <t>Timothy Patterson</t>
  </si>
  <si>
    <t>Justin Simpson</t>
  </si>
  <si>
    <t>Matthew Brown</t>
  </si>
  <si>
    <t>Lori Valdez</t>
  </si>
  <si>
    <t>Dana Taylor</t>
  </si>
  <si>
    <t>Rebecca Sherman</t>
  </si>
  <si>
    <t>Rebecca Carter</t>
  </si>
  <si>
    <t>David Lewis</t>
  </si>
  <si>
    <t>Jill Mclaughlin</t>
  </si>
  <si>
    <t>Natasha Austin</t>
  </si>
  <si>
    <t>Rebecca Johnson</t>
  </si>
  <si>
    <t>William Bailey</t>
  </si>
  <si>
    <t>Mr. Jonathan Stanton</t>
  </si>
  <si>
    <t>Joshua Elliott</t>
  </si>
  <si>
    <t>Peter Vaughn</t>
  </si>
  <si>
    <t>Craig Rodriguez</t>
  </si>
  <si>
    <t>Anthony Pierce</t>
  </si>
  <si>
    <t>Stephen Welch</t>
  </si>
  <si>
    <t>Amy Stewart</t>
  </si>
  <si>
    <t>Francis Bates</t>
  </si>
  <si>
    <t>Margaret Smith</t>
  </si>
  <si>
    <t>William Maxwell</t>
  </si>
  <si>
    <t>Justin Green</t>
  </si>
  <si>
    <t>Laura Welch</t>
  </si>
  <si>
    <t>Anita Walls</t>
  </si>
  <si>
    <t>Shelley Allen</t>
  </si>
  <si>
    <t>Barbara Miller</t>
  </si>
  <si>
    <t>John Smith</t>
  </si>
  <si>
    <t>Tommy Garrett</t>
  </si>
  <si>
    <t>Matthew Saunders</t>
  </si>
  <si>
    <t>Jenna Harvey MD</t>
  </si>
  <si>
    <t>Shelley Garcia</t>
  </si>
  <si>
    <t>Darryl Steele</t>
  </si>
  <si>
    <t>Keith Key</t>
  </si>
  <si>
    <t>Denise Rollins</t>
  </si>
  <si>
    <t>John Cunningham</t>
  </si>
  <si>
    <t>James West</t>
  </si>
  <si>
    <t>William Stevens</t>
  </si>
  <si>
    <t>David Coleman</t>
  </si>
  <si>
    <t>Corey Martin</t>
  </si>
  <si>
    <t>Olivia Wilson</t>
  </si>
  <si>
    <t>Kristine Perez</t>
  </si>
  <si>
    <t>Nicole Bray</t>
  </si>
  <si>
    <t>Michael Bradley</t>
  </si>
  <si>
    <t>Jessica Bray</t>
  </si>
  <si>
    <t>Crystal Edwards</t>
  </si>
  <si>
    <t>Gary George</t>
  </si>
  <si>
    <t>Jeremiah Delacruz</t>
  </si>
  <si>
    <t>Rhonda Carlson</t>
  </si>
  <si>
    <t>Logan Wong</t>
  </si>
  <si>
    <t>Kara Allen</t>
  </si>
  <si>
    <t>Ashley Leonard</t>
  </si>
  <si>
    <t>Ethan Wells</t>
  </si>
  <si>
    <t>Kristy Patterson</t>
  </si>
  <si>
    <t>Sara Garza</t>
  </si>
  <si>
    <t>Trevor Callahan</t>
  </si>
  <si>
    <t>Patricia Jones</t>
  </si>
  <si>
    <t>Raymond Maynard</t>
  </si>
  <si>
    <t>Adam Hester</t>
  </si>
  <si>
    <t>Lisa Johnson</t>
  </si>
  <si>
    <t>Christopher Powers</t>
  </si>
  <si>
    <t>Spencer Davis</t>
  </si>
  <si>
    <t>George Sullivan</t>
  </si>
  <si>
    <t>Phillip Robinson</t>
  </si>
  <si>
    <t>Deborah Frost</t>
  </si>
  <si>
    <t>Keith Joseph</t>
  </si>
  <si>
    <t>Sharon Young</t>
  </si>
  <si>
    <t>Timothy Young</t>
  </si>
  <si>
    <t>Joseph Jones</t>
  </si>
  <si>
    <t>Keith Diaz</t>
  </si>
  <si>
    <t>Frank Graham</t>
  </si>
  <si>
    <t>Thomas Bailey</t>
  </si>
  <si>
    <t>Kevin Nelson</t>
  </si>
  <si>
    <t>Steven Carlson</t>
  </si>
  <si>
    <t>Miss Jill Phillips</t>
  </si>
  <si>
    <t>Jeffrey Mason</t>
  </si>
  <si>
    <t>Brenda Young</t>
  </si>
  <si>
    <t>Deborah Cross</t>
  </si>
  <si>
    <t>Eric Harris</t>
  </si>
  <si>
    <t>Marc Campbell</t>
  </si>
  <si>
    <t>Linda Andrews</t>
  </si>
  <si>
    <t>Matthew Blackburn</t>
  </si>
  <si>
    <t>Tami Ramirez</t>
  </si>
  <si>
    <t>Leslie Moses</t>
  </si>
  <si>
    <t>Christina Horn</t>
  </si>
  <si>
    <t>Maria Green</t>
  </si>
  <si>
    <t>Samantha Perez</t>
  </si>
  <si>
    <t>Jack Torres</t>
  </si>
  <si>
    <t>Shawn Schwartz</t>
  </si>
  <si>
    <t>Phyllis Hopkins</t>
  </si>
  <si>
    <t>Tara Yang</t>
  </si>
  <si>
    <t>Larry Blair</t>
  </si>
  <si>
    <t>Rachel Schultz</t>
  </si>
  <si>
    <t>Andrea Mason</t>
  </si>
  <si>
    <t>Matthew King</t>
  </si>
  <si>
    <t>Dr. Joshua Hood</t>
  </si>
  <si>
    <t>Joshua Quinn</t>
  </si>
  <si>
    <t>Christine Johnston</t>
  </si>
  <si>
    <t>Christopher Padilla</t>
  </si>
  <si>
    <t>William Green</t>
  </si>
  <si>
    <t>Brent Powell</t>
  </si>
  <si>
    <t>Tara Wolfe</t>
  </si>
  <si>
    <t>Michelle Brown</t>
  </si>
  <si>
    <t>Jared Robertson</t>
  </si>
  <si>
    <t>Christina Graham</t>
  </si>
  <si>
    <t>Johnathan Johnson</t>
  </si>
  <si>
    <t>Aaron Wallace</t>
  </si>
  <si>
    <t>Elizabeth Mccoy</t>
  </si>
  <si>
    <t>Dr. Carl Johnson DDS</t>
  </si>
  <si>
    <t>Jennifer Monroe</t>
  </si>
  <si>
    <t>Lauren Jennings</t>
  </si>
  <si>
    <t>Ronald Wright</t>
  </si>
  <si>
    <t>Sue Martinez</t>
  </si>
  <si>
    <t>Patricia Rocha</t>
  </si>
  <si>
    <t>Angela Ruiz</t>
  </si>
  <si>
    <t>Megan Garcia</t>
  </si>
  <si>
    <t>Rachel Martin</t>
  </si>
  <si>
    <t>Theresa Henry</t>
  </si>
  <si>
    <t>William Cook</t>
  </si>
  <si>
    <t>Francis Burgess</t>
  </si>
  <si>
    <t>Michael Klein</t>
  </si>
  <si>
    <t>Mary Boyer</t>
  </si>
  <si>
    <t>Lori Stevens</t>
  </si>
  <si>
    <t>Jason Thomas</t>
  </si>
  <si>
    <t>Dr. Andre Moran</t>
  </si>
  <si>
    <t>Lisa Williams</t>
  </si>
  <si>
    <t>Deborah Mejia</t>
  </si>
  <si>
    <t>Suzanne Lloyd</t>
  </si>
  <si>
    <t>Douglas Barrett</t>
  </si>
  <si>
    <t>Amanda Hamilton</t>
  </si>
  <si>
    <t>Paul Garrison</t>
  </si>
  <si>
    <t>Robert Bates</t>
  </si>
  <si>
    <t>Crystal Davidson</t>
  </si>
  <si>
    <t>Patrick Miranda</t>
  </si>
  <si>
    <t>Megan Silva</t>
  </si>
  <si>
    <t>Abigail Galvan</t>
  </si>
  <si>
    <t>Jill Chapman</t>
  </si>
  <si>
    <t>James Hill</t>
  </si>
  <si>
    <t>Damon Gonzalez</t>
  </si>
  <si>
    <t>Kimberly Lopez DVM</t>
  </si>
  <si>
    <t>James Hoffman</t>
  </si>
  <si>
    <t>Emily Bradley</t>
  </si>
  <si>
    <t>Kathryn Mullins</t>
  </si>
  <si>
    <t>Sandra Craig</t>
  </si>
  <si>
    <t>Sandra Gibson</t>
  </si>
  <si>
    <t>Victoria Burton</t>
  </si>
  <si>
    <t>Gabriel Holland</t>
  </si>
  <si>
    <t>Wyatt Estrada</t>
  </si>
  <si>
    <t>Justin Jackson</t>
  </si>
  <si>
    <t>Ronald Lewis</t>
  </si>
  <si>
    <t>Sean Kelley</t>
  </si>
  <si>
    <t>Anthony Thomas</t>
  </si>
  <si>
    <t>Eileen Duncan</t>
  </si>
  <si>
    <t>Alexis West</t>
  </si>
  <si>
    <t>Cassandra Bryant</t>
  </si>
  <si>
    <t>Michelle Valdez</t>
  </si>
  <si>
    <t>Stephanie Summers</t>
  </si>
  <si>
    <t>Tyler Gross</t>
  </si>
  <si>
    <t>Sandy Dawson</t>
  </si>
  <si>
    <t>Michelle Turner</t>
  </si>
  <si>
    <t>Donna Miller</t>
  </si>
  <si>
    <t>Andrew Brooks</t>
  </si>
  <si>
    <t>Female</t>
  </si>
  <si>
    <t>Male</t>
  </si>
  <si>
    <t>Bronx High School of Science</t>
  </si>
  <si>
    <t>Stuyvesant High School</t>
  </si>
  <si>
    <t>Townsend Harris High School</t>
  </si>
  <si>
    <t>LaGuardia High School</t>
  </si>
  <si>
    <t>Brooklyn Technical High School</t>
  </si>
  <si>
    <t>Grade 12</t>
  </si>
  <si>
    <t>Grade 9</t>
  </si>
  <si>
    <t>Grade 11</t>
  </si>
  <si>
    <t>Grade 10</t>
  </si>
  <si>
    <t>Science</t>
  </si>
  <si>
    <t>English</t>
  </si>
  <si>
    <t>Math</t>
  </si>
  <si>
    <t>History</t>
  </si>
  <si>
    <t>Art</t>
  </si>
  <si>
    <t>Final</t>
  </si>
  <si>
    <t>Midterm</t>
  </si>
  <si>
    <t>Kevin Carson</t>
  </si>
  <si>
    <t>Kathryn Paul</t>
  </si>
  <si>
    <t>Juan Reynolds</t>
  </si>
  <si>
    <t>Scott Rodgers DDS</t>
  </si>
  <si>
    <t>Jeffrey Miller</t>
  </si>
  <si>
    <t>Deborah Clark</t>
  </si>
  <si>
    <t>Curtis Norman</t>
  </si>
  <si>
    <t>Nicole Hoffman</t>
  </si>
  <si>
    <t>Erik Grant</t>
  </si>
  <si>
    <t>Michael Gay</t>
  </si>
  <si>
    <t>Yes</t>
  </si>
  <si>
    <t>No</t>
  </si>
  <si>
    <t>$</t>
  </si>
  <si>
    <t>تثبيت المرجع</t>
  </si>
  <si>
    <t>&amp;</t>
  </si>
  <si>
    <t>دمج</t>
  </si>
  <si>
    <t>[]</t>
  </si>
  <si>
    <t>اختياري</t>
  </si>
  <si>
    <t>Alvarado</t>
  </si>
  <si>
    <t>Miller</t>
  </si>
  <si>
    <t>Graham</t>
  </si>
  <si>
    <t>DDS</t>
  </si>
  <si>
    <t>Vasquez</t>
  </si>
  <si>
    <t>Torres</t>
  </si>
  <si>
    <t>Robertson</t>
  </si>
  <si>
    <t>Clark</t>
  </si>
  <si>
    <t>Hale</t>
  </si>
  <si>
    <t>Lee</t>
  </si>
  <si>
    <t>Duffy</t>
  </si>
  <si>
    <t>Patterson</t>
  </si>
  <si>
    <t>Hernandez</t>
  </si>
  <si>
    <t>Smith</t>
  </si>
  <si>
    <t>George</t>
  </si>
  <si>
    <t>Johnson</t>
  </si>
  <si>
    <t>Campos</t>
  </si>
  <si>
    <t>Lewis</t>
  </si>
  <si>
    <t>Chapman</t>
  </si>
  <si>
    <t>Weber</t>
  </si>
  <si>
    <t>Matthews</t>
  </si>
  <si>
    <t>William</t>
  </si>
  <si>
    <t>Jessica</t>
  </si>
  <si>
    <t>Mr</t>
  </si>
  <si>
    <t>Daniel</t>
  </si>
  <si>
    <t>Andrew</t>
  </si>
  <si>
    <t>Thomas</t>
  </si>
  <si>
    <t>James</t>
  </si>
  <si>
    <t>Jennifer</t>
  </si>
  <si>
    <t>Danielle</t>
  </si>
  <si>
    <t>Benjamin</t>
  </si>
  <si>
    <t>Teresa</t>
  </si>
  <si>
    <t>Alexandra</t>
  </si>
  <si>
    <t>Christopher</t>
  </si>
  <si>
    <t>Victoria</t>
  </si>
  <si>
    <t>Michelle</t>
  </si>
  <si>
    <t>Jean</t>
  </si>
  <si>
    <t>Jackie</t>
  </si>
  <si>
    <t>Gabriella</t>
  </si>
  <si>
    <t>Juan</t>
  </si>
  <si>
    <t>Mary</t>
  </si>
  <si>
    <t>Austin</t>
  </si>
  <si>
    <t>Adam</t>
  </si>
  <si>
    <t>Susan</t>
  </si>
  <si>
    <t>Billy</t>
  </si>
  <si>
    <t>Amy</t>
  </si>
  <si>
    <t>Angela</t>
  </si>
  <si>
    <t>Melvin</t>
  </si>
  <si>
    <t>Patrick</t>
  </si>
  <si>
    <t>Dr</t>
  </si>
  <si>
    <t>Kathy</t>
  </si>
  <si>
    <t>Kathryn</t>
  </si>
  <si>
    <t>Robert</t>
  </si>
  <si>
    <t>Carlos</t>
  </si>
  <si>
    <t>John</t>
  </si>
  <si>
    <t>Gabriel</t>
  </si>
  <si>
    <t>Nicholas</t>
  </si>
  <si>
    <t>Zachary</t>
  </si>
  <si>
    <t>Eugene</t>
  </si>
  <si>
    <t>Lynn</t>
  </si>
  <si>
    <t>Matthew</t>
  </si>
  <si>
    <t>Shane</t>
  </si>
  <si>
    <t>Timothy</t>
  </si>
  <si>
    <t>Jill</t>
  </si>
  <si>
    <t>Eric</t>
  </si>
  <si>
    <t>Diana</t>
  </si>
  <si>
    <t>Brian</t>
  </si>
  <si>
    <t>Carol</t>
  </si>
  <si>
    <t>Mason</t>
  </si>
  <si>
    <t>Brenda</t>
  </si>
  <si>
    <t>Elizabeth</t>
  </si>
  <si>
    <t>Kelsey</t>
  </si>
  <si>
    <t>Julie</t>
  </si>
  <si>
    <t>Olivia</t>
  </si>
  <si>
    <t>Ryan</t>
  </si>
  <si>
    <t>Molly</t>
  </si>
  <si>
    <t>Lisa</t>
  </si>
  <si>
    <t>Emily</t>
  </si>
  <si>
    <t>Charles</t>
  </si>
  <si>
    <t>Stephanie</t>
  </si>
  <si>
    <t>Edgar</t>
  </si>
  <si>
    <t>Brad</t>
  </si>
  <si>
    <t>Edward</t>
  </si>
  <si>
    <t>Kara</t>
  </si>
  <si>
    <t>Douglas</t>
  </si>
  <si>
    <t>Robin</t>
  </si>
  <si>
    <t>Emma</t>
  </si>
  <si>
    <t>Stacey</t>
  </si>
  <si>
    <t>Alicia</t>
  </si>
  <si>
    <t>Ashley</t>
  </si>
  <si>
    <t>Jacob</t>
  </si>
  <si>
    <t>Pamela</t>
  </si>
  <si>
    <t>Jason</t>
  </si>
  <si>
    <t>Caleb</t>
  </si>
  <si>
    <t>Jeremy</t>
  </si>
  <si>
    <t>Peter</t>
  </si>
  <si>
    <t>David</t>
  </si>
  <si>
    <t>Dominique</t>
  </si>
  <si>
    <t>Linda</t>
  </si>
  <si>
    <t>Dawn</t>
  </si>
  <si>
    <t>Sonya</t>
  </si>
  <si>
    <t>Andrea</t>
  </si>
  <si>
    <t>Jared</t>
  </si>
  <si>
    <t>Dean</t>
  </si>
  <si>
    <t>Roy</t>
  </si>
  <si>
    <t>Michael</t>
  </si>
  <si>
    <t>Kayla</t>
  </si>
  <si>
    <t>Rachel</t>
  </si>
  <si>
    <t>Joseph</t>
  </si>
  <si>
    <t>Carrie</t>
  </si>
  <si>
    <t>Samantha</t>
  </si>
  <si>
    <t>Vincent</t>
  </si>
  <si>
    <t>Sally</t>
  </si>
  <si>
    <t>Tyler</t>
  </si>
  <si>
    <t>Melissa</t>
  </si>
  <si>
    <t>Dana</t>
  </si>
  <si>
    <t>Jordan</t>
  </si>
  <si>
    <t>Anna</t>
  </si>
  <si>
    <t>Herbert</t>
  </si>
  <si>
    <t>Natalie</t>
  </si>
  <si>
    <t>Steven</t>
  </si>
  <si>
    <t>Kevin</t>
  </si>
  <si>
    <t>Erin</t>
  </si>
  <si>
    <t>Kendra</t>
  </si>
  <si>
    <t>Brittany</t>
  </si>
  <si>
    <t>Scott</t>
  </si>
  <si>
    <t>Kathleen</t>
  </si>
  <si>
    <t>Isaiah</t>
  </si>
  <si>
    <t>Anne</t>
  </si>
  <si>
    <t>Jimmy</t>
  </si>
  <si>
    <t>Duane</t>
  </si>
  <si>
    <t>Kurt</t>
  </si>
  <si>
    <t>Joshua</t>
  </si>
  <si>
    <t>Mario</t>
  </si>
  <si>
    <t>Margaret</t>
  </si>
  <si>
    <t>Anthony</t>
  </si>
  <si>
    <t>Madeline</t>
  </si>
  <si>
    <t>Donald</t>
  </si>
  <si>
    <t>Francisco</t>
  </si>
  <si>
    <t>Danny</t>
  </si>
  <si>
    <t>Heather</t>
  </si>
  <si>
    <t>Samuel</t>
  </si>
  <si>
    <t>Spencer</t>
  </si>
  <si>
    <t>Nancy</t>
  </si>
  <si>
    <t>Tracy</t>
  </si>
  <si>
    <t>Bradley</t>
  </si>
  <si>
    <t>Jeffrey</t>
  </si>
  <si>
    <t>Nathan</t>
  </si>
  <si>
    <t>Karen</t>
  </si>
  <si>
    <t>Shawn</t>
  </si>
  <si>
    <t>Kristen</t>
  </si>
  <si>
    <t>Isabella</t>
  </si>
  <si>
    <t>Leah</t>
  </si>
  <si>
    <t>Yvonne</t>
  </si>
  <si>
    <t>Tina</t>
  </si>
  <si>
    <t>Sarah</t>
  </si>
  <si>
    <t>Gregory</t>
  </si>
  <si>
    <t>Wendy</t>
  </si>
  <si>
    <t>Derek</t>
  </si>
  <si>
    <t>Mark</t>
  </si>
  <si>
    <t>Chelsea</t>
  </si>
  <si>
    <t>Tiffany</t>
  </si>
  <si>
    <t>Jamie</t>
  </si>
  <si>
    <t>Jonathan</t>
  </si>
  <si>
    <t>Rebecca</t>
  </si>
  <si>
    <t>Sandra</t>
  </si>
  <si>
    <t>Shannon</t>
  </si>
  <si>
    <t>Cole</t>
  </si>
  <si>
    <t>Casey</t>
  </si>
  <si>
    <t>Chad</t>
  </si>
  <si>
    <t>Erica</t>
  </si>
  <si>
    <t>Ariana</t>
  </si>
  <si>
    <t>Kristi</t>
  </si>
  <si>
    <t>Christina</t>
  </si>
  <si>
    <t>Michele</t>
  </si>
  <si>
    <t>Sean</t>
  </si>
  <si>
    <t>Martin</t>
  </si>
  <si>
    <t>Mercedes</t>
  </si>
  <si>
    <t>Alan</t>
  </si>
  <si>
    <t>Walter</t>
  </si>
  <si>
    <t>Tabitha</t>
  </si>
  <si>
    <t>Megan</t>
  </si>
  <si>
    <t>Lindsay</t>
  </si>
  <si>
    <t>Luke</t>
  </si>
  <si>
    <t>Cynthia</t>
  </si>
  <si>
    <t>Allen</t>
  </si>
  <si>
    <t>Debra</t>
  </si>
  <si>
    <t>Garrett</t>
  </si>
  <si>
    <t>Stephen</t>
  </si>
  <si>
    <t>Gina</t>
  </si>
  <si>
    <t>Clifford</t>
  </si>
  <si>
    <t>Maria</t>
  </si>
  <si>
    <t>Crystal</t>
  </si>
  <si>
    <t>Bruce</t>
  </si>
  <si>
    <t>Jeffery</t>
  </si>
  <si>
    <t>Candice</t>
  </si>
  <si>
    <t>Dylan</t>
  </si>
  <si>
    <t>Alexandria</t>
  </si>
  <si>
    <t>Trevor</t>
  </si>
  <si>
    <t>Levi</t>
  </si>
  <si>
    <t>Terri</t>
  </si>
  <si>
    <t>Barbara</t>
  </si>
  <si>
    <t>Caitlin</t>
  </si>
  <si>
    <t>Renee</t>
  </si>
  <si>
    <t>Holly</t>
  </si>
  <si>
    <t>Brittney</t>
  </si>
  <si>
    <t>Amber</t>
  </si>
  <si>
    <t>Amanda</t>
  </si>
  <si>
    <t>Taylor</t>
  </si>
  <si>
    <t>Lori</t>
  </si>
  <si>
    <t>Dale</t>
  </si>
  <si>
    <t>Denise</t>
  </si>
  <si>
    <t>Paige</t>
  </si>
  <si>
    <t>Craig</t>
  </si>
  <si>
    <t>Courtney</t>
  </si>
  <si>
    <t>Kyle</t>
  </si>
  <si>
    <t>Richard</t>
  </si>
  <si>
    <t>Darrell</t>
  </si>
  <si>
    <t>Henry</t>
  </si>
  <si>
    <t>Carmen</t>
  </si>
  <si>
    <t>Brandi</t>
  </si>
  <si>
    <t>Mackenzie</t>
  </si>
  <si>
    <t>Kristin</t>
  </si>
  <si>
    <t>Ronald</t>
  </si>
  <si>
    <t>Christine</t>
  </si>
  <si>
    <t>Paul</t>
  </si>
  <si>
    <t>Grant</t>
  </si>
  <si>
    <t>Aaron</t>
  </si>
  <si>
    <t>Justin</t>
  </si>
  <si>
    <t>Russell</t>
  </si>
  <si>
    <t>Jacqueline</t>
  </si>
  <si>
    <t>Travis</t>
  </si>
  <si>
    <t>Laura</t>
  </si>
  <si>
    <t>Javier</t>
  </si>
  <si>
    <t>Tonya</t>
  </si>
  <si>
    <t>Mrs</t>
  </si>
  <si>
    <t>Nicole</t>
  </si>
  <si>
    <t>Raymond</t>
  </si>
  <si>
    <t>Miguel</t>
  </si>
  <si>
    <t>Gary</t>
  </si>
  <si>
    <t>Dustin</t>
  </si>
  <si>
    <t>Vickie</t>
  </si>
  <si>
    <t>Randall</t>
  </si>
  <si>
    <t>Melinda</t>
  </si>
  <si>
    <t>Philip</t>
  </si>
  <si>
    <t>Phyllis</t>
  </si>
  <si>
    <t>Keith</t>
  </si>
  <si>
    <t>Marissa</t>
  </si>
  <si>
    <t>Ms</t>
  </si>
  <si>
    <t>Joy</t>
  </si>
  <si>
    <t>Misty</t>
  </si>
  <si>
    <t>Hannah</t>
  </si>
  <si>
    <t>Chase</t>
  </si>
  <si>
    <t>Karina</t>
  </si>
  <si>
    <t>Andre</t>
  </si>
  <si>
    <t>Tara</t>
  </si>
  <si>
    <t>Lance</t>
  </si>
  <si>
    <t>Bethany</t>
  </si>
  <si>
    <t>Jodi</t>
  </si>
  <si>
    <t>Jasmine</t>
  </si>
  <si>
    <t>Tanya</t>
  </si>
  <si>
    <t>Brandon</t>
  </si>
  <si>
    <t>Monica</t>
  </si>
  <si>
    <t>Kimberly</t>
  </si>
  <si>
    <t>Bobby</t>
  </si>
  <si>
    <t>Diane</t>
  </si>
  <si>
    <t>April</t>
  </si>
  <si>
    <t>Alyssa</t>
  </si>
  <si>
    <t>Sara</t>
  </si>
  <si>
    <t>Savannah</t>
  </si>
  <si>
    <t>Leslie</t>
  </si>
  <si>
    <t>Kenneth</t>
  </si>
  <si>
    <t>Randy</t>
  </si>
  <si>
    <t>Kristine</t>
  </si>
  <si>
    <t>Jeff</t>
  </si>
  <si>
    <t>Felicia</t>
  </si>
  <si>
    <t>Frank</t>
  </si>
  <si>
    <t>Corey</t>
  </si>
  <si>
    <t>Jose</t>
  </si>
  <si>
    <t>Tristan</t>
  </si>
  <si>
    <t>Shelby</t>
  </si>
  <si>
    <t>Cheryl</t>
  </si>
  <si>
    <t>Tammy</t>
  </si>
  <si>
    <t>Alex</t>
  </si>
  <si>
    <t>Whitney</t>
  </si>
  <si>
    <t>Alice</t>
  </si>
  <si>
    <t>Miranda</t>
  </si>
  <si>
    <t>Roger</t>
  </si>
  <si>
    <t>Larry</t>
  </si>
  <si>
    <t>Riley</t>
  </si>
  <si>
    <t>Phillip</t>
  </si>
  <si>
    <t>Veronica</t>
  </si>
  <si>
    <t>Curtis</t>
  </si>
  <si>
    <t>Katherine</t>
  </si>
  <si>
    <t>Todd</t>
  </si>
  <si>
    <t>Katie</t>
  </si>
  <si>
    <t>Colin</t>
  </si>
  <si>
    <t>Antonio</t>
  </si>
  <si>
    <t>Krystal</t>
  </si>
  <si>
    <t>Dorothy</t>
  </si>
  <si>
    <t>Marilyn</t>
  </si>
  <si>
    <t>Kent</t>
  </si>
  <si>
    <t>Natasha</t>
  </si>
  <si>
    <t>Stacy</t>
  </si>
  <si>
    <t>Tracey</t>
  </si>
  <si>
    <t>Marie</t>
  </si>
  <si>
    <t>Joe</t>
  </si>
  <si>
    <t>Evelyn</t>
  </si>
  <si>
    <t>Allison</t>
  </si>
  <si>
    <t>Sydney</t>
  </si>
  <si>
    <t>Chelsey</t>
  </si>
  <si>
    <t>Christian</t>
  </si>
  <si>
    <t>Heidi</t>
  </si>
  <si>
    <t>Rodney</t>
  </si>
  <si>
    <t>Drew</t>
  </si>
  <si>
    <t>Lauren</t>
  </si>
  <si>
    <t>Cameron</t>
  </si>
  <si>
    <t>Jonathon</t>
  </si>
  <si>
    <t>Julia</t>
  </si>
  <si>
    <t>Ashlee</t>
  </si>
  <si>
    <t>Theresa</t>
  </si>
  <si>
    <t>Suzanne</t>
  </si>
  <si>
    <t>Sophia</t>
  </si>
  <si>
    <t>Mariah</t>
  </si>
  <si>
    <t>Loretta</t>
  </si>
  <si>
    <t>Jenna</t>
  </si>
  <si>
    <t>Tony</t>
  </si>
  <si>
    <t>Terry</t>
  </si>
  <si>
    <t>Omar</t>
  </si>
  <si>
    <t>Brett</t>
  </si>
  <si>
    <t>Alejandro</t>
  </si>
  <si>
    <t>Mikayla</t>
  </si>
  <si>
    <t>Hunter</t>
  </si>
  <si>
    <t>Sylvia</t>
  </si>
  <si>
    <t>Stacie</t>
  </si>
  <si>
    <t>Sharon</t>
  </si>
  <si>
    <t>Debbie</t>
  </si>
  <si>
    <t>Diamond</t>
  </si>
  <si>
    <t>Laurie</t>
  </si>
  <si>
    <t>Lindsey</t>
  </si>
  <si>
    <t>Tammie</t>
  </si>
  <si>
    <t>Christy</t>
  </si>
  <si>
    <t>Francis</t>
  </si>
  <si>
    <t>Anita</t>
  </si>
  <si>
    <t>Shelley</t>
  </si>
  <si>
    <t>Tommy</t>
  </si>
  <si>
    <t>Darryl</t>
  </si>
  <si>
    <t>Jeremiah</t>
  </si>
  <si>
    <t>Rhonda</t>
  </si>
  <si>
    <t>Logan</t>
  </si>
  <si>
    <t>Ethan</t>
  </si>
  <si>
    <t>Kristy</t>
  </si>
  <si>
    <t>Patricia</t>
  </si>
  <si>
    <t>Deborah</t>
  </si>
  <si>
    <t>Miss</t>
  </si>
  <si>
    <t>Marc</t>
  </si>
  <si>
    <t>Tami</t>
  </si>
  <si>
    <t>Jack</t>
  </si>
  <si>
    <t>Brent</t>
  </si>
  <si>
    <t>Johnathan</t>
  </si>
  <si>
    <t>Sue</t>
  </si>
  <si>
    <t>Abigail</t>
  </si>
  <si>
    <t>Damon</t>
  </si>
  <si>
    <t>Wyatt</t>
  </si>
  <si>
    <t>Eileen</t>
  </si>
  <si>
    <t>Alexis</t>
  </si>
  <si>
    <t>Cassandra</t>
  </si>
  <si>
    <t>Sandy</t>
  </si>
  <si>
    <t>Donna</t>
  </si>
  <si>
    <t>Graves</t>
  </si>
  <si>
    <t>Lloyd</t>
  </si>
  <si>
    <t>Chavez</t>
  </si>
  <si>
    <t>Walker</t>
  </si>
  <si>
    <t>Jackson</t>
  </si>
  <si>
    <t>MD</t>
  </si>
  <si>
    <t>Phillips</t>
  </si>
  <si>
    <t>Macias</t>
  </si>
  <si>
    <t>Richards</t>
  </si>
  <si>
    <t>Ortiz</t>
  </si>
  <si>
    <t>Perry</t>
  </si>
  <si>
    <t>Hanson</t>
  </si>
  <si>
    <t>Jenkins</t>
  </si>
  <si>
    <t>Burke</t>
  </si>
  <si>
    <t>Perez</t>
  </si>
  <si>
    <t>Ross</t>
  </si>
  <si>
    <t>Cannon</t>
  </si>
  <si>
    <t>Stevens</t>
  </si>
  <si>
    <t>Delacruz</t>
  </si>
  <si>
    <t>Carroll</t>
  </si>
  <si>
    <t>Morrison</t>
  </si>
  <si>
    <t>Nichols</t>
  </si>
  <si>
    <t>Kirk</t>
  </si>
  <si>
    <t>Hartman</t>
  </si>
  <si>
    <t>Long</t>
  </si>
  <si>
    <t>Harris</t>
  </si>
  <si>
    <t>Hamilton</t>
  </si>
  <si>
    <t>Flores</t>
  </si>
  <si>
    <t>Ramirez</t>
  </si>
  <si>
    <t>Barnes</t>
  </si>
  <si>
    <t>Ho</t>
  </si>
  <si>
    <t>Montgomery</t>
  </si>
  <si>
    <t>Ballard</t>
  </si>
  <si>
    <t>Gonzales</t>
  </si>
  <si>
    <t>May</t>
  </si>
  <si>
    <t>Wilson</t>
  </si>
  <si>
    <t>Andrews</t>
  </si>
  <si>
    <t>Baker</t>
  </si>
  <si>
    <t>Jones</t>
  </si>
  <si>
    <t>Holland</t>
  </si>
  <si>
    <t>Kane</t>
  </si>
  <si>
    <t>Brown</t>
  </si>
  <si>
    <t>Tucker</t>
  </si>
  <si>
    <t>Webb</t>
  </si>
  <si>
    <t>Landry</t>
  </si>
  <si>
    <t>Everett</t>
  </si>
  <si>
    <t>Rodriguez</t>
  </si>
  <si>
    <t>Cox</t>
  </si>
  <si>
    <t>Morris</t>
  </si>
  <si>
    <t>Peterson</t>
  </si>
  <si>
    <t>Edwards</t>
  </si>
  <si>
    <t>Oneill</t>
  </si>
  <si>
    <t>Gomez</t>
  </si>
  <si>
    <t>Goodwin</t>
  </si>
  <si>
    <t>Evans</t>
  </si>
  <si>
    <t>Byrd</t>
  </si>
  <si>
    <t>Wolf</t>
  </si>
  <si>
    <t>Munoz</t>
  </si>
  <si>
    <t>Robinson</t>
  </si>
  <si>
    <t>Gutierrez</t>
  </si>
  <si>
    <t>Figueroa</t>
  </si>
  <si>
    <t>Fitzgerald</t>
  </si>
  <si>
    <t>Williams</t>
  </si>
  <si>
    <t>Palmer</t>
  </si>
  <si>
    <t>Snow</t>
  </si>
  <si>
    <t>Davis</t>
  </si>
  <si>
    <t>Molina</t>
  </si>
  <si>
    <t>Brooks</t>
  </si>
  <si>
    <t>Hoffman</t>
  </si>
  <si>
    <t>Murray</t>
  </si>
  <si>
    <t>Campbell</t>
  </si>
  <si>
    <t>Roman</t>
  </si>
  <si>
    <t>Diaz</t>
  </si>
  <si>
    <t>Hutchinson</t>
  </si>
  <si>
    <t>Dennis</t>
  </si>
  <si>
    <t>Ball</t>
  </si>
  <si>
    <t>Crane</t>
  </si>
  <si>
    <t>Liu</t>
  </si>
  <si>
    <t>Lozano</t>
  </si>
  <si>
    <t>Wood</t>
  </si>
  <si>
    <t>Benson</t>
  </si>
  <si>
    <t>White</t>
  </si>
  <si>
    <t>Mercado</t>
  </si>
  <si>
    <t>Anderson</t>
  </si>
  <si>
    <t>Santana</t>
  </si>
  <si>
    <t>Mahoney</t>
  </si>
  <si>
    <t>Burgess</t>
  </si>
  <si>
    <t>Potter</t>
  </si>
  <si>
    <t>Romero</t>
  </si>
  <si>
    <t>Carter</t>
  </si>
  <si>
    <t>Sweeney</t>
  </si>
  <si>
    <t>Lopez</t>
  </si>
  <si>
    <t>Murphy</t>
  </si>
  <si>
    <t>Case</t>
  </si>
  <si>
    <t>Alvarez</t>
  </si>
  <si>
    <t>Patel</t>
  </si>
  <si>
    <t>Coffey</t>
  </si>
  <si>
    <t>Arnold</t>
  </si>
  <si>
    <t>Sanchez</t>
  </si>
  <si>
    <t>Carey</t>
  </si>
  <si>
    <t>Williamson</t>
  </si>
  <si>
    <t>Espinoza</t>
  </si>
  <si>
    <t>Herrera</t>
  </si>
  <si>
    <t>Gaines</t>
  </si>
  <si>
    <t>Coleman</t>
  </si>
  <si>
    <t>Russo</t>
  </si>
  <si>
    <t>Arroyo</t>
  </si>
  <si>
    <t>Rios</t>
  </si>
  <si>
    <t>Moore</t>
  </si>
  <si>
    <t>Yoder</t>
  </si>
  <si>
    <t>Horton</t>
  </si>
  <si>
    <t>Cook</t>
  </si>
  <si>
    <t>Maynard</t>
  </si>
  <si>
    <t>Calhoun</t>
  </si>
  <si>
    <t>Swanson</t>
  </si>
  <si>
    <t>Zimmerman</t>
  </si>
  <si>
    <t>Irwin</t>
  </si>
  <si>
    <t>Hardy</t>
  </si>
  <si>
    <t>Freeman</t>
  </si>
  <si>
    <t>Callahan</t>
  </si>
  <si>
    <t>Singleton</t>
  </si>
  <si>
    <t>Patton</t>
  </si>
  <si>
    <t>Henderson</t>
  </si>
  <si>
    <t>Ruiz</t>
  </si>
  <si>
    <t>Thompson</t>
  </si>
  <si>
    <t>PhD</t>
  </si>
  <si>
    <t>Bennett</t>
  </si>
  <si>
    <t>Barrera</t>
  </si>
  <si>
    <t>Sutton</t>
  </si>
  <si>
    <t>Moss</t>
  </si>
  <si>
    <t>Fischer</t>
  </si>
  <si>
    <t>Martinez</t>
  </si>
  <si>
    <t>Trujillo</t>
  </si>
  <si>
    <t>Berry</t>
  </si>
  <si>
    <t>Lynch</t>
  </si>
  <si>
    <t>Castillo</t>
  </si>
  <si>
    <t>Greene</t>
  </si>
  <si>
    <t>Kidd</t>
  </si>
  <si>
    <t>Savage</t>
  </si>
  <si>
    <t>Cruz</t>
  </si>
  <si>
    <t>Jacobs</t>
  </si>
  <si>
    <t>Parrish</t>
  </si>
  <si>
    <t>Tran</t>
  </si>
  <si>
    <t>Maddox</t>
  </si>
  <si>
    <t>Cobb</t>
  </si>
  <si>
    <t>Bryant</t>
  </si>
  <si>
    <t>Ellis</t>
  </si>
  <si>
    <t>Wall</t>
  </si>
  <si>
    <t>Bauer</t>
  </si>
  <si>
    <t>Archer</t>
  </si>
  <si>
    <t>Vaughan</t>
  </si>
  <si>
    <t>Mccullough</t>
  </si>
  <si>
    <t>Lucas</t>
  </si>
  <si>
    <t>Morrow</t>
  </si>
  <si>
    <t>Mendez</t>
  </si>
  <si>
    <t>Mathis</t>
  </si>
  <si>
    <t>Newton</t>
  </si>
  <si>
    <t>Dawson</t>
  </si>
  <si>
    <t>Werner</t>
  </si>
  <si>
    <t>Quinn</t>
  </si>
  <si>
    <t>Floyd</t>
  </si>
  <si>
    <t>Gonzalez</t>
  </si>
  <si>
    <t>Reynolds</t>
  </si>
  <si>
    <t>Adams</t>
  </si>
  <si>
    <t>Strickland</t>
  </si>
  <si>
    <t>Cunningham</t>
  </si>
  <si>
    <t>Meyer</t>
  </si>
  <si>
    <t>Ramos</t>
  </si>
  <si>
    <t>Ponce</t>
  </si>
  <si>
    <t>Morgan</t>
  </si>
  <si>
    <t>Gibson</t>
  </si>
  <si>
    <t>Mills</t>
  </si>
  <si>
    <t>Rivera</t>
  </si>
  <si>
    <t>Rush</t>
  </si>
  <si>
    <t>Johnston</t>
  </si>
  <si>
    <t>Medina</t>
  </si>
  <si>
    <t>Kennedy</t>
  </si>
  <si>
    <t>Price</t>
  </si>
  <si>
    <t>Ray</t>
  </si>
  <si>
    <t>Walters</t>
  </si>
  <si>
    <t>Hill</t>
  </si>
  <si>
    <t>Myers</t>
  </si>
  <si>
    <t>Turner</t>
  </si>
  <si>
    <t>Nunez</t>
  </si>
  <si>
    <t>Moreno</t>
  </si>
  <si>
    <t>Rose</t>
  </si>
  <si>
    <t>Mcfarland</t>
  </si>
  <si>
    <t>Velasquez</t>
  </si>
  <si>
    <t>Jennings</t>
  </si>
  <si>
    <t>Hall</t>
  </si>
  <si>
    <t>Bailey</t>
  </si>
  <si>
    <t>Neal</t>
  </si>
  <si>
    <t>Sawyer</t>
  </si>
  <si>
    <t>Schultz</t>
  </si>
  <si>
    <t>Gray</t>
  </si>
  <si>
    <t>Holmes</t>
  </si>
  <si>
    <t>Jimenez</t>
  </si>
  <si>
    <t>Barajas</t>
  </si>
  <si>
    <t>Harrison</t>
  </si>
  <si>
    <t>Gallagher</t>
  </si>
  <si>
    <t>Roth</t>
  </si>
  <si>
    <t>Mcclure</t>
  </si>
  <si>
    <t>Baldwin</t>
  </si>
  <si>
    <t>Dominguez</t>
  </si>
  <si>
    <t>Benton</t>
  </si>
  <si>
    <t>Griffin</t>
  </si>
  <si>
    <t>Rodgers</t>
  </si>
  <si>
    <t>Knight</t>
  </si>
  <si>
    <t>Gordon</t>
  </si>
  <si>
    <t>Ford</t>
  </si>
  <si>
    <t>Reed</t>
  </si>
  <si>
    <t>Stevenson</t>
  </si>
  <si>
    <t>Cummings</t>
  </si>
  <si>
    <t>Parker</t>
  </si>
  <si>
    <t>Bowman</t>
  </si>
  <si>
    <t>Watkins</t>
  </si>
  <si>
    <t>Mckee</t>
  </si>
  <si>
    <t>Reeves</t>
  </si>
  <si>
    <t>Caldwell</t>
  </si>
  <si>
    <t>Stewart</t>
  </si>
  <si>
    <t>Sullivan</t>
  </si>
  <si>
    <t>King</t>
  </si>
  <si>
    <t>Riggs</t>
  </si>
  <si>
    <t>Pena</t>
  </si>
  <si>
    <t>Herman</t>
  </si>
  <si>
    <t>Doyle</t>
  </si>
  <si>
    <t>Simpson</t>
  </si>
  <si>
    <t>Roberson</t>
  </si>
  <si>
    <t>Bullock</t>
  </si>
  <si>
    <t>Bradford</t>
  </si>
  <si>
    <t>Osborn</t>
  </si>
  <si>
    <t>Valencia</t>
  </si>
  <si>
    <t>Stein</t>
  </si>
  <si>
    <t>Black</t>
  </si>
  <si>
    <t>Decker</t>
  </si>
  <si>
    <t>Woods</t>
  </si>
  <si>
    <t>Whitehead</t>
  </si>
  <si>
    <t>Moon</t>
  </si>
  <si>
    <t>Stephens</t>
  </si>
  <si>
    <t>Kelly</t>
  </si>
  <si>
    <t>Wright</t>
  </si>
  <si>
    <t>Rhodes</t>
  </si>
  <si>
    <t>Leblanc</t>
  </si>
  <si>
    <t>Manning</t>
  </si>
  <si>
    <t>Boone</t>
  </si>
  <si>
    <t>Mitchell</t>
  </si>
  <si>
    <t>Dickerson</t>
  </si>
  <si>
    <t>Wolfe</t>
  </si>
  <si>
    <t>Bowen</t>
  </si>
  <si>
    <t>Parks</t>
  </si>
  <si>
    <t>Clarke</t>
  </si>
  <si>
    <t>Kemp</t>
  </si>
  <si>
    <t>Whitaker</t>
  </si>
  <si>
    <t>Olson</t>
  </si>
  <si>
    <t>Blackburn</t>
  </si>
  <si>
    <t>Mejia</t>
  </si>
  <si>
    <t>Dixon</t>
  </si>
  <si>
    <t>Clements</t>
  </si>
  <si>
    <t>Le</t>
  </si>
  <si>
    <t>Barber</t>
  </si>
  <si>
    <t>Hanna</t>
  </si>
  <si>
    <t>Church</t>
  </si>
  <si>
    <t>Dudley</t>
  </si>
  <si>
    <t>Lester</t>
  </si>
  <si>
    <t>Washington</t>
  </si>
  <si>
    <t>Barron</t>
  </si>
  <si>
    <t>Mccall</t>
  </si>
  <si>
    <t>Nguyen</t>
  </si>
  <si>
    <t>Key</t>
  </si>
  <si>
    <t>Brennan</t>
  </si>
  <si>
    <t>Bates</t>
  </si>
  <si>
    <t>Beck</t>
  </si>
  <si>
    <t>Hurst</t>
  </si>
  <si>
    <t>Barker</t>
  </si>
  <si>
    <t>Kim</t>
  </si>
  <si>
    <t>Willis</t>
  </si>
  <si>
    <t>Richardson</t>
  </si>
  <si>
    <t>Mcintosh</t>
  </si>
  <si>
    <t>Fritz</t>
  </si>
  <si>
    <t>Burton</t>
  </si>
  <si>
    <t>Collins</t>
  </si>
  <si>
    <t>Curry</t>
  </si>
  <si>
    <t>Garrison</t>
  </si>
  <si>
    <t>Rice</t>
  </si>
  <si>
    <t>Larsen</t>
  </si>
  <si>
    <t>Jr.</t>
  </si>
  <si>
    <t>Hicks</t>
  </si>
  <si>
    <t>Barrett</t>
  </si>
  <si>
    <t>Braun</t>
  </si>
  <si>
    <t>Guzman</t>
  </si>
  <si>
    <t>Frazier</t>
  </si>
  <si>
    <t>Waller</t>
  </si>
  <si>
    <t>Spence</t>
  </si>
  <si>
    <t>Boyd</t>
  </si>
  <si>
    <t>Schmidt</t>
  </si>
  <si>
    <t>Wong</t>
  </si>
  <si>
    <t>Rich</t>
  </si>
  <si>
    <t>Larson</t>
  </si>
  <si>
    <t>Skinner</t>
  </si>
  <si>
    <t>Shaffer</t>
  </si>
  <si>
    <t>Hudson</t>
  </si>
  <si>
    <t>Vega</t>
  </si>
  <si>
    <t>Lam</t>
  </si>
  <si>
    <t>Mcmillan</t>
  </si>
  <si>
    <t>Mendoza</t>
  </si>
  <si>
    <t>Shaw</t>
  </si>
  <si>
    <t>Branch</t>
  </si>
  <si>
    <t>Fernandez</t>
  </si>
  <si>
    <t>Peters</t>
  </si>
  <si>
    <t>Nelson</t>
  </si>
  <si>
    <t>Harvey</t>
  </si>
  <si>
    <t>Beltran</t>
  </si>
  <si>
    <t>Erickson</t>
  </si>
  <si>
    <t>Norton</t>
  </si>
  <si>
    <t>Carson</t>
  </si>
  <si>
    <t>Hopkins</t>
  </si>
  <si>
    <t>Juarez</t>
  </si>
  <si>
    <t>Huang</t>
  </si>
  <si>
    <t>Kaufman</t>
  </si>
  <si>
    <t>Kline</t>
  </si>
  <si>
    <t>Garcia</t>
  </si>
  <si>
    <t>Roberts</t>
  </si>
  <si>
    <t>Salinas</t>
  </si>
  <si>
    <t>Mcdaniel</t>
  </si>
  <si>
    <t>Shelton</t>
  </si>
  <si>
    <t>Rosales</t>
  </si>
  <si>
    <t>Morton</t>
  </si>
  <si>
    <t>Hahn</t>
  </si>
  <si>
    <t>Farley</t>
  </si>
  <si>
    <t>Gould</t>
  </si>
  <si>
    <t>Knox</t>
  </si>
  <si>
    <t>Arias</t>
  </si>
  <si>
    <t>Bond</t>
  </si>
  <si>
    <t>Owens</t>
  </si>
  <si>
    <t>Mcmahon</t>
  </si>
  <si>
    <t>Mcdowell</t>
  </si>
  <si>
    <t>Nielsen</t>
  </si>
  <si>
    <t>Gallegos</t>
  </si>
  <si>
    <t>Ingram</t>
  </si>
  <si>
    <t>Powers</t>
  </si>
  <si>
    <t>Marsh</t>
  </si>
  <si>
    <t>Lara</t>
  </si>
  <si>
    <t>Cabrera</t>
  </si>
  <si>
    <t>Foster</t>
  </si>
  <si>
    <t>Nicholson</t>
  </si>
  <si>
    <t>Briggs</t>
  </si>
  <si>
    <t>Duarte</t>
  </si>
  <si>
    <t>Elliott</t>
  </si>
  <si>
    <t>Glass</t>
  </si>
  <si>
    <t>Howard</t>
  </si>
  <si>
    <t>Wallace</t>
  </si>
  <si>
    <t>Fowler</t>
  </si>
  <si>
    <t>Hines</t>
  </si>
  <si>
    <t>Carrillo</t>
  </si>
  <si>
    <t>Ortega</t>
  </si>
  <si>
    <t>Green</t>
  </si>
  <si>
    <t>Bryan</t>
  </si>
  <si>
    <t>Conner</t>
  </si>
  <si>
    <t>Carlson</t>
  </si>
  <si>
    <t>Porter</t>
  </si>
  <si>
    <t>Fields</t>
  </si>
  <si>
    <t>Hood</t>
  </si>
  <si>
    <t>Bush</t>
  </si>
  <si>
    <t>Obrien</t>
  </si>
  <si>
    <t>Merritt</t>
  </si>
  <si>
    <t>Becker</t>
  </si>
  <si>
    <t>Flowers</t>
  </si>
  <si>
    <t>Hendricks</t>
  </si>
  <si>
    <t>Padilla</t>
  </si>
  <si>
    <t>Sims</t>
  </si>
  <si>
    <t>Burns</t>
  </si>
  <si>
    <t>Zavala</t>
  </si>
  <si>
    <t>Salazar</t>
  </si>
  <si>
    <t>Young</t>
  </si>
  <si>
    <t>Garner</t>
  </si>
  <si>
    <t>Burnett</t>
  </si>
  <si>
    <t>Rogers</t>
  </si>
  <si>
    <t>Gilbert</t>
  </si>
  <si>
    <t>Blackwell</t>
  </si>
  <si>
    <t>Franco</t>
  </si>
  <si>
    <t>Villa</t>
  </si>
  <si>
    <t>Simon</t>
  </si>
  <si>
    <t>Stuart</t>
  </si>
  <si>
    <t>Castro</t>
  </si>
  <si>
    <t>Stone</t>
  </si>
  <si>
    <t>DVM</t>
  </si>
  <si>
    <t>Bishop</t>
  </si>
  <si>
    <t>Fisher</t>
  </si>
  <si>
    <t>Ware</t>
  </si>
  <si>
    <t>Ramsey</t>
  </si>
  <si>
    <t>Mccoy</t>
  </si>
  <si>
    <t>Lambert</t>
  </si>
  <si>
    <t>Pham</t>
  </si>
  <si>
    <t>Franklin</t>
  </si>
  <si>
    <t>Valdez</t>
  </si>
  <si>
    <t>Sherman</t>
  </si>
  <si>
    <t>Mclaughlin</t>
  </si>
  <si>
    <t>Stanton</t>
  </si>
  <si>
    <t>Vaughn</t>
  </si>
  <si>
    <t>Pierce</t>
  </si>
  <si>
    <t>Welch</t>
  </si>
  <si>
    <t>Maxwell</t>
  </si>
  <si>
    <t>Walls</t>
  </si>
  <si>
    <t>Saunders</t>
  </si>
  <si>
    <t>Steele</t>
  </si>
  <si>
    <t>Rollins</t>
  </si>
  <si>
    <t>West</t>
  </si>
  <si>
    <t>Bray</t>
  </si>
  <si>
    <t>Leonard</t>
  </si>
  <si>
    <t>Wells</t>
  </si>
  <si>
    <t>Garza</t>
  </si>
  <si>
    <t>Hester</t>
  </si>
  <si>
    <t>Frost</t>
  </si>
  <si>
    <t>Cross</t>
  </si>
  <si>
    <t>Moses</t>
  </si>
  <si>
    <t>Horn</t>
  </si>
  <si>
    <t>Schwartz</t>
  </si>
  <si>
    <t>Yang</t>
  </si>
  <si>
    <t>Blair</t>
  </si>
  <si>
    <t>Powell</t>
  </si>
  <si>
    <t>Monroe</t>
  </si>
  <si>
    <t>Rocha</t>
  </si>
  <si>
    <t>Klein</t>
  </si>
  <si>
    <t>Boyer</t>
  </si>
  <si>
    <t>Moran</t>
  </si>
  <si>
    <t>Davidson</t>
  </si>
  <si>
    <t>Silva</t>
  </si>
  <si>
    <t>Galvan</t>
  </si>
  <si>
    <t>Mullins</t>
  </si>
  <si>
    <t>Estrada</t>
  </si>
  <si>
    <t>Kelley</t>
  </si>
  <si>
    <t>Duncan</t>
  </si>
  <si>
    <t>Summers</t>
  </si>
  <si>
    <t>Gross</t>
  </si>
  <si>
    <t>Fname</t>
  </si>
  <si>
    <t>Lname</t>
  </si>
  <si>
    <t xml:space="preserve">Minimum age </t>
  </si>
  <si>
    <t>Maxmum age</t>
  </si>
  <si>
    <t>Name of teachers</t>
  </si>
  <si>
    <t>Values only</t>
  </si>
  <si>
    <t>Status</t>
  </si>
  <si>
    <t>Number of pass students</t>
  </si>
  <si>
    <t>Number of fail students</t>
  </si>
  <si>
    <t xml:space="preserve">Age Segmentaion </t>
  </si>
  <si>
    <t>Number of Adult Students</t>
  </si>
  <si>
    <t>Number of UnderAge Students</t>
  </si>
  <si>
    <t>Student level</t>
  </si>
  <si>
    <t>Number of Excellent Students</t>
  </si>
  <si>
    <t>Number of Very Good Students</t>
  </si>
  <si>
    <t>Number of Good Students</t>
  </si>
  <si>
    <t>Number of Fail Students</t>
  </si>
  <si>
    <t>Number of Poor Students</t>
  </si>
  <si>
    <t>here</t>
  </si>
  <si>
    <t>s1008</t>
  </si>
  <si>
    <t>s1000</t>
  </si>
  <si>
    <t xml:space="preserve">Enter Student Id </t>
  </si>
  <si>
    <t>Studen Id</t>
  </si>
  <si>
    <t xml:space="preserve">Name </t>
  </si>
  <si>
    <t xml:space="preserve">School </t>
  </si>
  <si>
    <t xml:space="preserve">Score </t>
  </si>
  <si>
    <t xml:space="preserve">Exam Type </t>
  </si>
  <si>
    <t xml:space="preserve">Student level </t>
  </si>
  <si>
    <t>s1016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</si>
</sst>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zoomScale="70" zoomScaleNormal="70" workbookViewId="0">
      <selection activeCell="A18" sqref="A18"/>
    </sheetView>
  </sheetViews>
  <sheetFormatPr defaultRowHeight="15" x14ac:dyDescent="0.25"/>
  <cols>
    <col min="1" max="1" width="12.42578125" customWidth="1"/>
    <col min="2" max="2" width="25.7109375" bestFit="1" customWidth="1"/>
    <col min="3" max="3" width="23.42578125" customWidth="1"/>
    <col min="4" max="4" width="13.42578125" bestFit="1" customWidth="1"/>
    <col min="5" max="5" width="9.85546875" customWidth="1"/>
    <col min="7" max="7" width="32" bestFit="1" customWidth="1"/>
    <col min="9" max="9" width="9.7109375" customWidth="1"/>
    <col min="10" max="10" width="12.5703125" customWidth="1"/>
    <col min="12" max="12" width="17.28515625" bestFit="1" customWidth="1"/>
    <col min="15" max="15" width="22.85546875" bestFit="1" customWidth="1"/>
    <col min="16" max="16" width="22.85546875" customWidth="1"/>
    <col min="18" max="18" width="30.5703125" bestFit="1" customWidth="1"/>
    <col min="20" max="20" width="16.85546875" bestFit="1" customWidth="1"/>
    <col min="21" max="21" width="37.42578125" bestFit="1" customWidth="1"/>
    <col min="30" max="30" width="10.5703125" bestFit="1" customWidth="1"/>
  </cols>
  <sheetData>
    <row r="1" spans="1:30" x14ac:dyDescent="0.25">
      <c r="A1" s="7" t="s">
        <v>0</v>
      </c>
      <c r="B1" s="7" t="s">
        <v>1</v>
      </c>
      <c r="C1" s="7" t="s">
        <v>2846</v>
      </c>
      <c r="D1" s="7" t="s">
        <v>2847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2852</v>
      </c>
      <c r="O1" s="7" t="s">
        <v>2855</v>
      </c>
      <c r="P1" s="7" t="s">
        <v>2858</v>
      </c>
    </row>
    <row r="2" spans="1:30" x14ac:dyDescent="0.25">
      <c r="A2" t="s">
        <v>11</v>
      </c>
      <c r="B2" t="s">
        <v>1011</v>
      </c>
      <c r="C2" t="s">
        <v>2191</v>
      </c>
      <c r="D2" t="s">
        <v>2043</v>
      </c>
      <c r="E2" t="s">
        <v>2007</v>
      </c>
      <c r="F2">
        <v>17</v>
      </c>
      <c r="G2" t="s">
        <v>2009</v>
      </c>
      <c r="H2" t="s">
        <v>2014</v>
      </c>
      <c r="I2" t="s">
        <v>2018</v>
      </c>
      <c r="J2" t="s">
        <v>2023</v>
      </c>
      <c r="K2">
        <v>94</v>
      </c>
      <c r="L2" t="s">
        <v>2025</v>
      </c>
      <c r="M2" t="s">
        <v>2035</v>
      </c>
      <c r="N2" t="str">
        <f>IF(K2&gt;=50,"Pass","Fail")</f>
        <v>Pass</v>
      </c>
      <c r="O2" t="str">
        <f>IF(F2&gt;=18,"Adult","UnderAge")</f>
        <v>UnderAge</v>
      </c>
      <c r="P2" t="str" cm="1">
        <f t="array" ref="P2">_xlfn.IFS(K2&gt;90,"Excellent",K2&gt;80,"Very Good",K2&gt;70,"Good",K2&gt;=50,"Poor",K2&lt;50,"Fail")</f>
        <v>Excellent</v>
      </c>
    </row>
    <row r="3" spans="1:30" x14ac:dyDescent="0.25">
      <c r="A3" t="s">
        <v>12</v>
      </c>
      <c r="B3" t="s">
        <v>1012</v>
      </c>
      <c r="C3" t="s">
        <v>2064</v>
      </c>
      <c r="D3" t="s">
        <v>2044</v>
      </c>
      <c r="E3" t="s">
        <v>2008</v>
      </c>
      <c r="F3">
        <v>18</v>
      </c>
      <c r="G3" t="s">
        <v>2010</v>
      </c>
      <c r="H3" t="s">
        <v>2014</v>
      </c>
      <c r="I3" t="s">
        <v>2018</v>
      </c>
      <c r="J3" t="s">
        <v>2023</v>
      </c>
      <c r="K3">
        <v>32</v>
      </c>
      <c r="L3" t="s">
        <v>2025</v>
      </c>
      <c r="M3" t="s">
        <v>2036</v>
      </c>
      <c r="N3" t="str">
        <f t="shared" ref="N3:N66" si="0">IF(K3&gt;=50,"Pass","Fail")</f>
        <v>Fail</v>
      </c>
      <c r="O3" t="str">
        <f t="shared" ref="O3:O66" si="1">IF(F3&gt;=18,"Adult","UnderAge")</f>
        <v>Adult</v>
      </c>
      <c r="P3" t="str" cm="1">
        <f t="array" ref="P3">_xlfn.IFS(K3&gt;90,"Excellent",K3&gt;80,"Very Good",K3&gt;70,"Good",K3&gt;=50,"Poor",K3&lt;50,"Fail")</f>
        <v>Fail</v>
      </c>
      <c r="AC3" t="s">
        <v>2037</v>
      </c>
      <c r="AD3" t="s">
        <v>2038</v>
      </c>
    </row>
    <row r="4" spans="1:30" x14ac:dyDescent="0.25">
      <c r="A4" t="s">
        <v>13</v>
      </c>
      <c r="B4" t="s">
        <v>1013</v>
      </c>
      <c r="C4" t="s">
        <v>2065</v>
      </c>
      <c r="D4" t="s">
        <v>2045</v>
      </c>
      <c r="E4" t="s">
        <v>2008</v>
      </c>
      <c r="F4">
        <v>14</v>
      </c>
      <c r="G4" t="s">
        <v>2011</v>
      </c>
      <c r="H4" t="s">
        <v>2015</v>
      </c>
      <c r="I4" t="s">
        <v>2019</v>
      </c>
      <c r="J4" t="s">
        <v>2024</v>
      </c>
      <c r="K4">
        <v>30</v>
      </c>
      <c r="L4" t="s">
        <v>2026</v>
      </c>
      <c r="M4" t="s">
        <v>2036</v>
      </c>
      <c r="N4" t="str">
        <f t="shared" si="0"/>
        <v>Fail</v>
      </c>
      <c r="O4" t="str">
        <f t="shared" si="1"/>
        <v>UnderAge</v>
      </c>
      <c r="P4" t="str" cm="1">
        <f t="array" ref="P4">_xlfn.IFS(K4&gt;90,"Excellent",K4&gt;80,"Very Good",K4&gt;70,"Good",K4&gt;=50,"Poor",K4&lt;50,"Fail")</f>
        <v>Fail</v>
      </c>
      <c r="AC4" t="s">
        <v>2039</v>
      </c>
      <c r="AD4" t="s">
        <v>2040</v>
      </c>
    </row>
    <row r="5" spans="1:30" x14ac:dyDescent="0.25">
      <c r="A5" t="s">
        <v>14</v>
      </c>
      <c r="B5" t="s">
        <v>1014</v>
      </c>
      <c r="C5" t="s">
        <v>2066</v>
      </c>
      <c r="D5" t="s">
        <v>2046</v>
      </c>
      <c r="E5" t="s">
        <v>2008</v>
      </c>
      <c r="F5">
        <v>16</v>
      </c>
      <c r="G5" t="s">
        <v>2011</v>
      </c>
      <c r="H5" t="s">
        <v>2015</v>
      </c>
      <c r="I5" t="s">
        <v>2020</v>
      </c>
      <c r="J5" t="s">
        <v>2023</v>
      </c>
      <c r="K5">
        <v>24</v>
      </c>
      <c r="L5" t="s">
        <v>2027</v>
      </c>
      <c r="M5" t="s">
        <v>2036</v>
      </c>
      <c r="N5" t="str">
        <f t="shared" si="0"/>
        <v>Fail</v>
      </c>
      <c r="O5" t="str">
        <f t="shared" si="1"/>
        <v>UnderAge</v>
      </c>
      <c r="P5" t="str" cm="1">
        <f t="array" ref="P5">_xlfn.IFS(K5&gt;90,"Excellent",K5&gt;80,"Very Good",K5&gt;70,"Good",K5&gt;=50,"Poor",K5&lt;50,"Fail")</f>
        <v>Fail</v>
      </c>
      <c r="AC5" t="s">
        <v>2041</v>
      </c>
      <c r="AD5" t="s">
        <v>2042</v>
      </c>
    </row>
    <row r="6" spans="1:30" x14ac:dyDescent="0.25">
      <c r="A6" t="s">
        <v>15</v>
      </c>
      <c r="B6" t="s">
        <v>1015</v>
      </c>
      <c r="C6" t="s">
        <v>2067</v>
      </c>
      <c r="D6" t="s">
        <v>2047</v>
      </c>
      <c r="E6" t="s">
        <v>2007</v>
      </c>
      <c r="F6">
        <v>15</v>
      </c>
      <c r="G6" t="s">
        <v>2009</v>
      </c>
      <c r="H6" t="s">
        <v>2016</v>
      </c>
      <c r="I6" t="s">
        <v>2019</v>
      </c>
      <c r="J6" t="s">
        <v>2023</v>
      </c>
      <c r="K6">
        <v>72</v>
      </c>
      <c r="L6" t="s">
        <v>2028</v>
      </c>
      <c r="M6" t="s">
        <v>2035</v>
      </c>
      <c r="N6" t="str">
        <f t="shared" si="0"/>
        <v>Pass</v>
      </c>
      <c r="O6" t="str">
        <f t="shared" si="1"/>
        <v>UnderAge</v>
      </c>
      <c r="P6" t="str" cm="1">
        <f t="array" ref="P6">_xlfn.IFS(K6&gt;90,"Excellent",K6&gt;80,"Very Good",K6&gt;70,"Good",K6&gt;=50,"Poor",K6&lt;50,"Fail")</f>
        <v>Good</v>
      </c>
      <c r="R6" s="4" t="s">
        <v>2848</v>
      </c>
      <c r="S6" s="4">
        <f>MIN(F2:F1001)</f>
        <v>14</v>
      </c>
      <c r="U6" s="4" t="s">
        <v>2853</v>
      </c>
      <c r="V6" s="4">
        <f>COUNTIF(N2:N1001,"Pass")</f>
        <v>501</v>
      </c>
    </row>
    <row r="7" spans="1:30" x14ac:dyDescent="0.25">
      <c r="A7" t="s">
        <v>16</v>
      </c>
      <c r="B7" t="s">
        <v>1016</v>
      </c>
      <c r="C7" t="s">
        <v>2068</v>
      </c>
      <c r="D7" t="s">
        <v>2048</v>
      </c>
      <c r="E7" t="s">
        <v>2008</v>
      </c>
      <c r="F7">
        <v>18</v>
      </c>
      <c r="G7" t="s">
        <v>2012</v>
      </c>
      <c r="H7" t="s">
        <v>2016</v>
      </c>
      <c r="I7" t="s">
        <v>2020</v>
      </c>
      <c r="J7" t="s">
        <v>2024</v>
      </c>
      <c r="K7">
        <v>11</v>
      </c>
      <c r="L7" t="s">
        <v>2026</v>
      </c>
      <c r="M7" t="s">
        <v>2036</v>
      </c>
      <c r="N7" t="str">
        <f t="shared" si="0"/>
        <v>Fail</v>
      </c>
      <c r="O7" t="str">
        <f t="shared" si="1"/>
        <v>Adult</v>
      </c>
      <c r="P7" t="str" cm="1">
        <f t="array" ref="P7">_xlfn.IFS(K7&gt;90,"Excellent",K7&gt;80,"Very Good",K7&gt;70,"Good",K7&gt;=50,"Poor",K7&lt;50,"Fail")</f>
        <v>Fail</v>
      </c>
      <c r="R7" s="4" t="s">
        <v>2849</v>
      </c>
      <c r="S7" s="4">
        <f>MAX(F2:F1001)</f>
        <v>18</v>
      </c>
      <c r="U7" s="4" t="s">
        <v>2854</v>
      </c>
      <c r="V7" s="4">
        <f>COUNTIF(N2:N1001,"Fail")</f>
        <v>499</v>
      </c>
    </row>
    <row r="8" spans="1:30" x14ac:dyDescent="0.25">
      <c r="A8" t="s">
        <v>17</v>
      </c>
      <c r="B8" t="s">
        <v>1017</v>
      </c>
      <c r="C8" t="s">
        <v>2069</v>
      </c>
      <c r="D8" t="s">
        <v>2049</v>
      </c>
      <c r="E8" t="s">
        <v>2007</v>
      </c>
      <c r="F8">
        <v>14</v>
      </c>
      <c r="G8" t="s">
        <v>2010</v>
      </c>
      <c r="H8" t="s">
        <v>2016</v>
      </c>
      <c r="I8" t="s">
        <v>2020</v>
      </c>
      <c r="J8" t="s">
        <v>2023</v>
      </c>
      <c r="K8">
        <v>90</v>
      </c>
      <c r="L8" t="s">
        <v>2029</v>
      </c>
      <c r="M8" t="s">
        <v>2035</v>
      </c>
      <c r="N8" t="str">
        <f t="shared" si="0"/>
        <v>Pass</v>
      </c>
      <c r="O8" t="str">
        <f t="shared" si="1"/>
        <v>UnderAge</v>
      </c>
      <c r="P8" t="str" cm="1">
        <f t="array" ref="P8">_xlfn.IFS(K8&gt;90,"Excellent",K8&gt;80,"Very Good",K8&gt;70,"Good",K8&gt;=50,"Poor",K8&lt;50,"Fail")</f>
        <v>Very Good</v>
      </c>
      <c r="X8" s="4" t="s">
        <v>2007</v>
      </c>
      <c r="Y8" s="4" t="s">
        <v>2008</v>
      </c>
    </row>
    <row r="9" spans="1:30" x14ac:dyDescent="0.25">
      <c r="A9" t="s">
        <v>18</v>
      </c>
      <c r="B9" t="s">
        <v>1018</v>
      </c>
      <c r="C9" t="s">
        <v>2070</v>
      </c>
      <c r="D9" t="s">
        <v>2050</v>
      </c>
      <c r="E9" t="s">
        <v>2007</v>
      </c>
      <c r="F9">
        <v>14</v>
      </c>
      <c r="G9" t="s">
        <v>2011</v>
      </c>
      <c r="H9" t="s">
        <v>2014</v>
      </c>
      <c r="I9" t="s">
        <v>2018</v>
      </c>
      <c r="J9" t="s">
        <v>2024</v>
      </c>
      <c r="K9">
        <v>36</v>
      </c>
      <c r="L9" t="s">
        <v>2027</v>
      </c>
      <c r="M9" t="s">
        <v>2036</v>
      </c>
      <c r="N9" t="str">
        <f t="shared" si="0"/>
        <v>Fail</v>
      </c>
      <c r="O9" t="str">
        <f t="shared" si="1"/>
        <v>UnderAge</v>
      </c>
      <c r="P9" t="str" cm="1">
        <f t="array" ref="P9">_xlfn.IFS(K9&gt;90,"Excellent",K9&gt;80,"Very Good",K9&gt;70,"Good",K9&gt;=50,"Poor",K9&lt;50,"Fail")</f>
        <v>Fail</v>
      </c>
      <c r="R9" s="4" t="s">
        <v>2856</v>
      </c>
      <c r="S9" s="4">
        <f>COUNTIF(O2:O1001,"Adult")</f>
        <v>208</v>
      </c>
      <c r="U9" s="4" t="s">
        <v>2859</v>
      </c>
      <c r="V9" s="4">
        <f>COUNTIF(P2:P1001,"Excellent")</f>
        <v>110</v>
      </c>
      <c r="X9" s="4">
        <f>COUNTIFS(E2:E1001,E2,P2:P1001,P2)</f>
        <v>60</v>
      </c>
      <c r="Y9" s="4">
        <f>V9-X9</f>
        <v>50</v>
      </c>
    </row>
    <row r="10" spans="1:30" x14ac:dyDescent="0.25">
      <c r="A10" t="s">
        <v>19</v>
      </c>
      <c r="B10" t="s">
        <v>1019</v>
      </c>
      <c r="C10" t="s">
        <v>2071</v>
      </c>
      <c r="D10" t="s">
        <v>2051</v>
      </c>
      <c r="E10" t="s">
        <v>2007</v>
      </c>
      <c r="F10">
        <v>16</v>
      </c>
      <c r="G10" t="s">
        <v>2012</v>
      </c>
      <c r="H10" t="s">
        <v>2016</v>
      </c>
      <c r="I10" t="s">
        <v>2021</v>
      </c>
      <c r="J10" t="s">
        <v>2023</v>
      </c>
      <c r="K10">
        <v>24</v>
      </c>
      <c r="L10" t="s">
        <v>2030</v>
      </c>
      <c r="M10" t="s">
        <v>2036</v>
      </c>
      <c r="N10" t="str">
        <f t="shared" si="0"/>
        <v>Fail</v>
      </c>
      <c r="O10" t="str">
        <f t="shared" si="1"/>
        <v>UnderAge</v>
      </c>
      <c r="P10" t="str" cm="1">
        <f t="array" ref="P10">_xlfn.IFS(K10&gt;90,"Excellent",K10&gt;80,"Very Good",K10&gt;70,"Good",K10&gt;=50,"Poor",K10&lt;50,"Fail")</f>
        <v>Fail</v>
      </c>
      <c r="R10" s="4" t="s">
        <v>2857</v>
      </c>
      <c r="S10" s="4">
        <f>COUNTIF(O2:O1001,"UnderAge")</f>
        <v>792</v>
      </c>
      <c r="U10" s="4" t="s">
        <v>2860</v>
      </c>
      <c r="V10" s="4">
        <f>COUNTIF(P2:P1001,"Very Good")</f>
        <v>103</v>
      </c>
    </row>
    <row r="11" spans="1:30" x14ac:dyDescent="0.25">
      <c r="A11" t="s">
        <v>20</v>
      </c>
      <c r="B11" t="s">
        <v>1020</v>
      </c>
      <c r="C11" t="s">
        <v>2072</v>
      </c>
      <c r="D11" t="s">
        <v>2052</v>
      </c>
      <c r="E11" t="s">
        <v>2007</v>
      </c>
      <c r="F11">
        <v>14</v>
      </c>
      <c r="G11" t="s">
        <v>2013</v>
      </c>
      <c r="H11" t="s">
        <v>2014</v>
      </c>
      <c r="I11" t="s">
        <v>2019</v>
      </c>
      <c r="J11" t="s">
        <v>2023</v>
      </c>
      <c r="K11">
        <v>63</v>
      </c>
      <c r="L11" t="s">
        <v>2027</v>
      </c>
      <c r="M11" t="s">
        <v>2035</v>
      </c>
      <c r="N11" t="str">
        <f t="shared" si="0"/>
        <v>Pass</v>
      </c>
      <c r="O11" t="str">
        <f t="shared" si="1"/>
        <v>UnderAge</v>
      </c>
      <c r="P11" t="str" cm="1">
        <f t="array" ref="P11">_xlfn.IFS(K11&gt;90,"Excellent",K11&gt;80,"Very Good",K11&gt;70,"Good",K11&gt;=50,"Poor",K11&lt;50,"Fail")</f>
        <v>Poor</v>
      </c>
      <c r="U11" s="4" t="s">
        <v>2861</v>
      </c>
      <c r="V11" s="4">
        <f>COUNTIF(P2:P1001,"Good")</f>
        <v>85</v>
      </c>
    </row>
    <row r="12" spans="1:30" x14ac:dyDescent="0.25">
      <c r="A12" t="s">
        <v>21</v>
      </c>
      <c r="B12" t="s">
        <v>1021</v>
      </c>
      <c r="C12" t="s">
        <v>2073</v>
      </c>
      <c r="D12" t="s">
        <v>2053</v>
      </c>
      <c r="E12" t="s">
        <v>2007</v>
      </c>
      <c r="F12">
        <v>15</v>
      </c>
      <c r="G12" t="s">
        <v>2009</v>
      </c>
      <c r="H12" t="s">
        <v>2017</v>
      </c>
      <c r="I12" t="s">
        <v>2018</v>
      </c>
      <c r="J12" t="s">
        <v>2024</v>
      </c>
      <c r="K12">
        <v>20</v>
      </c>
      <c r="L12" t="s">
        <v>2027</v>
      </c>
      <c r="M12" t="s">
        <v>2036</v>
      </c>
      <c r="N12" t="str">
        <f t="shared" si="0"/>
        <v>Fail</v>
      </c>
      <c r="O12" t="str">
        <f t="shared" si="1"/>
        <v>UnderAge</v>
      </c>
      <c r="P12" t="str" cm="1">
        <f t="array" ref="P12">_xlfn.IFS(K12&gt;90,"Excellent",K12&gt;80,"Very Good",K12&gt;70,"Good",K12&gt;=50,"Poor",K12&lt;50,"Fail")</f>
        <v>Fail</v>
      </c>
      <c r="U12" s="4" t="s">
        <v>2862</v>
      </c>
      <c r="V12" s="4">
        <f>COUNTIF(P2:P1001,"Fail")</f>
        <v>499</v>
      </c>
    </row>
    <row r="13" spans="1:30" x14ac:dyDescent="0.25">
      <c r="A13" t="s">
        <v>22</v>
      </c>
      <c r="B13" t="s">
        <v>1022</v>
      </c>
      <c r="C13" t="s">
        <v>2074</v>
      </c>
      <c r="D13" t="s">
        <v>2054</v>
      </c>
      <c r="E13" t="s">
        <v>2007</v>
      </c>
      <c r="F13">
        <v>16</v>
      </c>
      <c r="G13" t="s">
        <v>2012</v>
      </c>
      <c r="H13" t="s">
        <v>2016</v>
      </c>
      <c r="I13" t="s">
        <v>2021</v>
      </c>
      <c r="J13" t="s">
        <v>2023</v>
      </c>
      <c r="K13">
        <v>84</v>
      </c>
      <c r="L13" t="s">
        <v>2026</v>
      </c>
      <c r="M13" t="s">
        <v>2035</v>
      </c>
      <c r="N13" t="str">
        <f t="shared" si="0"/>
        <v>Pass</v>
      </c>
      <c r="O13" t="str">
        <f t="shared" si="1"/>
        <v>UnderAge</v>
      </c>
      <c r="P13" t="str" cm="1">
        <f t="array" ref="P13">_xlfn.IFS(K13&gt;90,"Excellent",K13&gt;80,"Very Good",K13&gt;70,"Good",K13&gt;=50,"Poor",K13&lt;50,"Fail")</f>
        <v>Very Good</v>
      </c>
      <c r="U13" s="4" t="s">
        <v>2863</v>
      </c>
      <c r="V13" s="4">
        <f>COUNTIF(P2:P1001,P17)</f>
        <v>203</v>
      </c>
    </row>
    <row r="14" spans="1:30" x14ac:dyDescent="0.25">
      <c r="A14" t="s">
        <v>23</v>
      </c>
      <c r="B14" t="s">
        <v>1023</v>
      </c>
      <c r="C14" t="s">
        <v>2075</v>
      </c>
      <c r="D14" t="s">
        <v>2055</v>
      </c>
      <c r="E14" t="s">
        <v>2007</v>
      </c>
      <c r="F14">
        <v>17</v>
      </c>
      <c r="G14" t="s">
        <v>2013</v>
      </c>
      <c r="H14" t="s">
        <v>2014</v>
      </c>
      <c r="I14" t="s">
        <v>2022</v>
      </c>
      <c r="J14" t="s">
        <v>2024</v>
      </c>
      <c r="K14">
        <v>63</v>
      </c>
      <c r="L14" t="s">
        <v>2031</v>
      </c>
      <c r="M14" t="s">
        <v>2035</v>
      </c>
      <c r="N14" t="str">
        <f t="shared" si="0"/>
        <v>Pass</v>
      </c>
      <c r="O14" t="str">
        <f t="shared" si="1"/>
        <v>UnderAge</v>
      </c>
      <c r="P14" t="str" cm="1">
        <f t="array" ref="P14">_xlfn.IFS(K14&gt;90,"Excellent",K14&gt;80,"Very Good",K14&gt;70,"Good",K14&gt;=50,"Poor",K14&lt;50,"Fail")</f>
        <v>Poor</v>
      </c>
    </row>
    <row r="15" spans="1:30" x14ac:dyDescent="0.25">
      <c r="A15" t="s">
        <v>24</v>
      </c>
      <c r="B15" t="s">
        <v>1024</v>
      </c>
      <c r="C15" t="s">
        <v>2076</v>
      </c>
      <c r="D15" t="s">
        <v>2056</v>
      </c>
      <c r="E15" t="s">
        <v>2008</v>
      </c>
      <c r="F15">
        <v>17</v>
      </c>
      <c r="G15" t="s">
        <v>2010</v>
      </c>
      <c r="H15" t="s">
        <v>2017</v>
      </c>
      <c r="I15" t="s">
        <v>2019</v>
      </c>
      <c r="J15" t="s">
        <v>2024</v>
      </c>
      <c r="K15">
        <v>90</v>
      </c>
      <c r="L15" t="s">
        <v>2030</v>
      </c>
      <c r="M15" t="s">
        <v>2035</v>
      </c>
      <c r="N15" t="str">
        <f t="shared" si="0"/>
        <v>Pass</v>
      </c>
      <c r="O15" t="str">
        <f t="shared" si="1"/>
        <v>UnderAge</v>
      </c>
      <c r="P15" t="str" cm="1">
        <f t="array" ref="P15">_xlfn.IFS(K15&gt;90,"Excellent",K15&gt;80,"Very Good",K15&gt;70,"Good",K15&gt;=50,"Poor",K15&lt;50,"Fail")</f>
        <v>Very Good</v>
      </c>
      <c r="U15" s="6" t="s">
        <v>2851</v>
      </c>
    </row>
    <row r="16" spans="1:30" x14ac:dyDescent="0.25">
      <c r="A16" t="s">
        <v>25</v>
      </c>
      <c r="B16" t="s">
        <v>1025</v>
      </c>
      <c r="C16" t="s">
        <v>2077</v>
      </c>
      <c r="D16" t="s">
        <v>2057</v>
      </c>
      <c r="E16" t="s">
        <v>2007</v>
      </c>
      <c r="F16">
        <v>17</v>
      </c>
      <c r="G16" t="s">
        <v>2011</v>
      </c>
      <c r="H16" t="s">
        <v>2017</v>
      </c>
      <c r="I16" t="s">
        <v>2019</v>
      </c>
      <c r="J16" t="s">
        <v>2023</v>
      </c>
      <c r="K16">
        <v>40</v>
      </c>
      <c r="L16" t="s">
        <v>2032</v>
      </c>
      <c r="M16" t="s">
        <v>2036</v>
      </c>
      <c r="N16" t="str">
        <f t="shared" si="0"/>
        <v>Fail</v>
      </c>
      <c r="O16" t="str">
        <f t="shared" si="1"/>
        <v>UnderAge</v>
      </c>
      <c r="P16" t="str" cm="1">
        <f t="array" ref="P16">_xlfn.IFS(K16&gt;90,"Excellent",K16&gt;80,"Very Good",K16&gt;70,"Good",K16&gt;=50,"Poor",K16&lt;50,"Fail")</f>
        <v>Fail</v>
      </c>
      <c r="R16" s="4" t="s">
        <v>2850</v>
      </c>
      <c r="U16" s="4" t="s">
        <v>2850</v>
      </c>
    </row>
    <row r="17" spans="1:26" x14ac:dyDescent="0.25">
      <c r="A17" t="s">
        <v>26</v>
      </c>
      <c r="B17" t="s">
        <v>1026</v>
      </c>
      <c r="C17" t="s">
        <v>2078</v>
      </c>
      <c r="D17" t="s">
        <v>2058</v>
      </c>
      <c r="E17" t="s">
        <v>2007</v>
      </c>
      <c r="F17">
        <v>16</v>
      </c>
      <c r="G17" t="s">
        <v>2013</v>
      </c>
      <c r="H17" t="s">
        <v>2015</v>
      </c>
      <c r="I17" t="s">
        <v>2020</v>
      </c>
      <c r="J17" t="s">
        <v>2023</v>
      </c>
      <c r="K17">
        <v>53</v>
      </c>
      <c r="L17" t="s">
        <v>2031</v>
      </c>
      <c r="M17" t="s">
        <v>2035</v>
      </c>
      <c r="N17" t="str">
        <f t="shared" si="0"/>
        <v>Pass</v>
      </c>
      <c r="O17" t="str">
        <f t="shared" si="1"/>
        <v>UnderAge</v>
      </c>
      <c r="P17" t="str" cm="1">
        <f t="array" ref="P17">_xlfn.IFS(K17&gt;90,"Excellent",K17&gt;80,"Very Good",K17&gt;70,"Good",K17&gt;=50,"Poor",K17&lt;50,"Fail")</f>
        <v>Poor</v>
      </c>
      <c r="R17" s="3" t="str" cm="1">
        <f t="array" ref="R17:R26">_xlfn.UNIQUE(L2:L1001)</f>
        <v>Kevin Carson</v>
      </c>
      <c r="U17" s="3" t="s">
        <v>2025</v>
      </c>
      <c r="Z17" t="s">
        <v>2864</v>
      </c>
    </row>
    <row r="18" spans="1:26" x14ac:dyDescent="0.25">
      <c r="A18" t="s">
        <v>27</v>
      </c>
      <c r="B18" t="s">
        <v>1027</v>
      </c>
      <c r="C18" t="s">
        <v>2072</v>
      </c>
      <c r="D18" t="s">
        <v>2059</v>
      </c>
      <c r="E18" t="s">
        <v>2008</v>
      </c>
      <c r="F18">
        <v>16</v>
      </c>
      <c r="G18" t="s">
        <v>2013</v>
      </c>
      <c r="H18" t="s">
        <v>2017</v>
      </c>
      <c r="I18" t="s">
        <v>2022</v>
      </c>
      <c r="J18" t="s">
        <v>2023</v>
      </c>
      <c r="K18">
        <v>96</v>
      </c>
      <c r="L18" t="s">
        <v>2026</v>
      </c>
      <c r="M18" t="s">
        <v>2035</v>
      </c>
      <c r="N18" t="str">
        <f t="shared" si="0"/>
        <v>Pass</v>
      </c>
      <c r="O18" t="str">
        <f t="shared" si="1"/>
        <v>UnderAge</v>
      </c>
      <c r="P18" t="str" cm="1">
        <f t="array" ref="P18">_xlfn.IFS(K18&gt;90,"Excellent",K18&gt;80,"Very Good",K18&gt;70,"Good",K18&gt;=50,"Poor",K18&lt;50,"Fail")</f>
        <v>Excellent</v>
      </c>
      <c r="R18" s="3" t="str">
        <v>Kathryn Paul</v>
      </c>
      <c r="U18" s="3" t="s">
        <v>2026</v>
      </c>
      <c r="Z18" t="s">
        <v>2865</v>
      </c>
    </row>
    <row r="19" spans="1:26" x14ac:dyDescent="0.25">
      <c r="A19" t="s">
        <v>28</v>
      </c>
      <c r="B19" t="s">
        <v>1028</v>
      </c>
      <c r="C19" t="s">
        <v>2079</v>
      </c>
      <c r="D19" t="s">
        <v>2060</v>
      </c>
      <c r="E19" t="s">
        <v>2007</v>
      </c>
      <c r="F19">
        <v>18</v>
      </c>
      <c r="G19" t="s">
        <v>2013</v>
      </c>
      <c r="H19" t="s">
        <v>2017</v>
      </c>
      <c r="I19" t="s">
        <v>2020</v>
      </c>
      <c r="J19" t="s">
        <v>2024</v>
      </c>
      <c r="K19">
        <v>37</v>
      </c>
      <c r="L19" t="s">
        <v>2027</v>
      </c>
      <c r="M19" t="s">
        <v>2036</v>
      </c>
      <c r="N19" t="str">
        <f t="shared" si="0"/>
        <v>Fail</v>
      </c>
      <c r="O19" t="str">
        <f t="shared" si="1"/>
        <v>Adult</v>
      </c>
      <c r="P19" t="str" cm="1">
        <f t="array" ref="P19">_xlfn.IFS(K19&gt;90,"Excellent",K19&gt;80,"Very Good",K19&gt;70,"Good",K19&gt;=50,"Poor",K19&lt;50,"Fail")</f>
        <v>Fail</v>
      </c>
      <c r="R19" s="3" t="str">
        <v>Juan Reynolds</v>
      </c>
      <c r="U19" s="3" t="s">
        <v>2027</v>
      </c>
    </row>
    <row r="20" spans="1:26" x14ac:dyDescent="0.25">
      <c r="A20" t="s">
        <v>29</v>
      </c>
      <c r="B20" t="s">
        <v>1029</v>
      </c>
      <c r="C20" t="s">
        <v>2080</v>
      </c>
      <c r="D20" t="s">
        <v>2061</v>
      </c>
      <c r="E20" t="s">
        <v>2008</v>
      </c>
      <c r="F20">
        <v>18</v>
      </c>
      <c r="G20" t="s">
        <v>2010</v>
      </c>
      <c r="H20" t="s">
        <v>2014</v>
      </c>
      <c r="I20" t="s">
        <v>2022</v>
      </c>
      <c r="J20" t="s">
        <v>2024</v>
      </c>
      <c r="K20">
        <v>9</v>
      </c>
      <c r="L20" t="s">
        <v>2033</v>
      </c>
      <c r="M20" t="s">
        <v>2036</v>
      </c>
      <c r="N20" t="str">
        <f t="shared" si="0"/>
        <v>Fail</v>
      </c>
      <c r="O20" t="str">
        <f t="shared" si="1"/>
        <v>Adult</v>
      </c>
      <c r="P20" t="str" cm="1">
        <f t="array" ref="P20">_xlfn.IFS(K20&gt;90,"Excellent",K20&gt;80,"Very Good",K20&gt;70,"Good",K20&gt;=50,"Poor",K20&lt;50,"Fail")</f>
        <v>Fail</v>
      </c>
      <c r="R20" s="3" t="str">
        <v>Scott Rodgers DDS</v>
      </c>
      <c r="T20" s="1"/>
      <c r="U20" s="3" t="s">
        <v>2028</v>
      </c>
      <c r="X20">
        <f>VLOOKUP(Z18,A1:P1001,11,FALSE)</f>
        <v>24</v>
      </c>
    </row>
    <row r="21" spans="1:26" x14ac:dyDescent="0.25">
      <c r="A21" t="s">
        <v>30</v>
      </c>
      <c r="B21" t="s">
        <v>1030</v>
      </c>
      <c r="C21" t="s">
        <v>2081</v>
      </c>
      <c r="D21" t="s">
        <v>2062</v>
      </c>
      <c r="E21" t="s">
        <v>2007</v>
      </c>
      <c r="F21">
        <v>18</v>
      </c>
      <c r="G21" t="s">
        <v>2012</v>
      </c>
      <c r="H21" t="s">
        <v>2016</v>
      </c>
      <c r="I21" t="s">
        <v>2022</v>
      </c>
      <c r="J21" t="s">
        <v>2024</v>
      </c>
      <c r="K21">
        <v>4</v>
      </c>
      <c r="L21" t="s">
        <v>2030</v>
      </c>
      <c r="M21" t="s">
        <v>2036</v>
      </c>
      <c r="N21" t="str">
        <f t="shared" si="0"/>
        <v>Fail</v>
      </c>
      <c r="O21" t="str">
        <f t="shared" si="1"/>
        <v>Adult</v>
      </c>
      <c r="P21" t="str" cm="1">
        <f t="array" ref="P21">_xlfn.IFS(K21&gt;90,"Excellent",K21&gt;80,"Very Good",K21&gt;70,"Good",K21&gt;=50,"Poor",K21&lt;50,"Fail")</f>
        <v>Fail</v>
      </c>
      <c r="R21" s="3" t="str">
        <v>Jeffrey Miller</v>
      </c>
      <c r="U21" s="3" t="s">
        <v>2029</v>
      </c>
    </row>
    <row r="22" spans="1:26" x14ac:dyDescent="0.25">
      <c r="A22" t="s">
        <v>31</v>
      </c>
      <c r="B22" t="s">
        <v>1031</v>
      </c>
      <c r="C22" t="s">
        <v>2082</v>
      </c>
      <c r="D22" t="s">
        <v>2063</v>
      </c>
      <c r="E22" t="s">
        <v>2008</v>
      </c>
      <c r="F22">
        <v>15</v>
      </c>
      <c r="G22" t="s">
        <v>2009</v>
      </c>
      <c r="H22" t="s">
        <v>2014</v>
      </c>
      <c r="I22" t="s">
        <v>2020</v>
      </c>
      <c r="J22" t="s">
        <v>2023</v>
      </c>
      <c r="K22">
        <v>52</v>
      </c>
      <c r="L22" t="s">
        <v>2025</v>
      </c>
      <c r="M22" t="s">
        <v>2035</v>
      </c>
      <c r="N22" t="str">
        <f t="shared" si="0"/>
        <v>Pass</v>
      </c>
      <c r="O22" t="str">
        <f t="shared" si="1"/>
        <v>UnderAge</v>
      </c>
      <c r="P22" t="str" cm="1">
        <f t="array" ref="P22">_xlfn.IFS(K22&gt;90,"Excellent",K22&gt;80,"Very Good",K22&gt;70,"Good",K22&gt;=50,"Poor",K22&lt;50,"Fail")</f>
        <v>Poor</v>
      </c>
      <c r="R22" s="3" t="str">
        <v>Deborah Clark</v>
      </c>
      <c r="U22" s="3" t="s">
        <v>2030</v>
      </c>
    </row>
    <row r="23" spans="1:26" x14ac:dyDescent="0.25">
      <c r="A23" t="s">
        <v>32</v>
      </c>
      <c r="B23" t="s">
        <v>1032</v>
      </c>
      <c r="C23" t="s">
        <v>2083</v>
      </c>
      <c r="D23" t="s">
        <v>2412</v>
      </c>
      <c r="E23" t="s">
        <v>2008</v>
      </c>
      <c r="F23">
        <v>15</v>
      </c>
      <c r="G23" t="s">
        <v>2009</v>
      </c>
      <c r="H23" t="s">
        <v>2015</v>
      </c>
      <c r="I23" t="s">
        <v>2021</v>
      </c>
      <c r="J23" t="s">
        <v>2024</v>
      </c>
      <c r="K23">
        <v>74</v>
      </c>
      <c r="L23" t="s">
        <v>2030</v>
      </c>
      <c r="M23" t="s">
        <v>2035</v>
      </c>
      <c r="N23" t="str">
        <f t="shared" si="0"/>
        <v>Pass</v>
      </c>
      <c r="O23" t="str">
        <f t="shared" si="1"/>
        <v>UnderAge</v>
      </c>
      <c r="P23" t="str" cm="1">
        <f t="array" ref="P23">_xlfn.IFS(K23&gt;90,"Excellent",K23&gt;80,"Very Good",K23&gt;70,"Good",K23&gt;=50,"Poor",K23&lt;50,"Fail")</f>
        <v>Good</v>
      </c>
      <c r="R23" s="3" t="str">
        <v>Curtis Norman</v>
      </c>
      <c r="U23" s="3" t="s">
        <v>2031</v>
      </c>
    </row>
    <row r="24" spans="1:26" x14ac:dyDescent="0.25">
      <c r="A24" t="s">
        <v>33</v>
      </c>
      <c r="B24" t="s">
        <v>1033</v>
      </c>
      <c r="C24" t="s">
        <v>2084</v>
      </c>
      <c r="D24" t="s">
        <v>2413</v>
      </c>
      <c r="E24" t="s">
        <v>2007</v>
      </c>
      <c r="F24">
        <v>17</v>
      </c>
      <c r="G24" t="s">
        <v>2013</v>
      </c>
      <c r="H24" t="s">
        <v>2015</v>
      </c>
      <c r="I24" t="s">
        <v>2022</v>
      </c>
      <c r="J24" t="s">
        <v>2023</v>
      </c>
      <c r="K24">
        <v>36</v>
      </c>
      <c r="L24" t="s">
        <v>2025</v>
      </c>
      <c r="M24" t="s">
        <v>2036</v>
      </c>
      <c r="N24" t="str">
        <f t="shared" si="0"/>
        <v>Fail</v>
      </c>
      <c r="O24" t="str">
        <f t="shared" si="1"/>
        <v>UnderAge</v>
      </c>
      <c r="P24" t="str" cm="1">
        <f t="array" ref="P24">_xlfn.IFS(K24&gt;90,"Excellent",K24&gt;80,"Very Good",K24&gt;70,"Good",K24&gt;=50,"Poor",K24&lt;50,"Fail")</f>
        <v>Fail</v>
      </c>
      <c r="R24" s="3" t="str">
        <v>Nicole Hoffman</v>
      </c>
      <c r="U24" s="3" t="s">
        <v>2032</v>
      </c>
    </row>
    <row r="25" spans="1:26" x14ac:dyDescent="0.25">
      <c r="A25" t="s">
        <v>34</v>
      </c>
      <c r="B25" t="s">
        <v>1034</v>
      </c>
      <c r="C25" t="s">
        <v>2085</v>
      </c>
      <c r="D25" t="s">
        <v>2414</v>
      </c>
      <c r="E25" t="s">
        <v>2007</v>
      </c>
      <c r="F25">
        <v>17</v>
      </c>
      <c r="G25" t="s">
        <v>2011</v>
      </c>
      <c r="H25" t="s">
        <v>2017</v>
      </c>
      <c r="I25" t="s">
        <v>2022</v>
      </c>
      <c r="J25" t="s">
        <v>2024</v>
      </c>
      <c r="K25">
        <v>80</v>
      </c>
      <c r="L25" t="s">
        <v>2034</v>
      </c>
      <c r="M25" t="s">
        <v>2035</v>
      </c>
      <c r="N25" t="str">
        <f t="shared" si="0"/>
        <v>Pass</v>
      </c>
      <c r="O25" t="str">
        <f t="shared" si="1"/>
        <v>UnderAge</v>
      </c>
      <c r="P25" t="str" cm="1">
        <f t="array" ref="P25">_xlfn.IFS(K25&gt;90,"Excellent",K25&gt;80,"Very Good",K25&gt;70,"Good",K25&gt;=50,"Poor",K25&lt;50,"Fail")</f>
        <v>Good</v>
      </c>
      <c r="R25" s="3" t="str">
        <v>Erik Grant</v>
      </c>
      <c r="U25" s="3" t="s">
        <v>2033</v>
      </c>
    </row>
    <row r="26" spans="1:26" x14ac:dyDescent="0.25">
      <c r="A26" t="s">
        <v>35</v>
      </c>
      <c r="B26" t="s">
        <v>1035</v>
      </c>
      <c r="C26" t="s">
        <v>2086</v>
      </c>
      <c r="D26" t="s">
        <v>2415</v>
      </c>
      <c r="E26" t="s">
        <v>2008</v>
      </c>
      <c r="F26">
        <v>14</v>
      </c>
      <c r="G26" t="s">
        <v>2012</v>
      </c>
      <c r="H26" t="s">
        <v>2017</v>
      </c>
      <c r="I26" t="s">
        <v>2018</v>
      </c>
      <c r="J26" t="s">
        <v>2024</v>
      </c>
      <c r="K26">
        <v>93</v>
      </c>
      <c r="L26" t="s">
        <v>2025</v>
      </c>
      <c r="M26" t="s">
        <v>2035</v>
      </c>
      <c r="N26" t="str">
        <f t="shared" si="0"/>
        <v>Pass</v>
      </c>
      <c r="O26" t="str">
        <f t="shared" si="1"/>
        <v>UnderAge</v>
      </c>
      <c r="P26" t="str" cm="1">
        <f t="array" ref="P26">_xlfn.IFS(K26&gt;90,"Excellent",K26&gt;80,"Very Good",K26&gt;70,"Good",K26&gt;=50,"Poor",K26&lt;50,"Fail")</f>
        <v>Excellent</v>
      </c>
      <c r="R26" s="3" t="str">
        <v>Michael Gay</v>
      </c>
      <c r="U26" s="3" t="s">
        <v>2034</v>
      </c>
    </row>
    <row r="27" spans="1:26" x14ac:dyDescent="0.25">
      <c r="A27" t="s">
        <v>36</v>
      </c>
      <c r="B27" t="s">
        <v>1036</v>
      </c>
      <c r="C27" t="s">
        <v>2087</v>
      </c>
      <c r="D27" t="s">
        <v>2416</v>
      </c>
      <c r="E27" t="s">
        <v>2008</v>
      </c>
      <c r="F27">
        <v>16</v>
      </c>
      <c r="G27" t="s">
        <v>2013</v>
      </c>
      <c r="H27" t="s">
        <v>2015</v>
      </c>
      <c r="I27" t="s">
        <v>2021</v>
      </c>
      <c r="J27" t="s">
        <v>2023</v>
      </c>
      <c r="K27">
        <v>70</v>
      </c>
      <c r="L27" t="s">
        <v>2028</v>
      </c>
      <c r="M27" t="s">
        <v>2035</v>
      </c>
      <c r="N27" t="str">
        <f t="shared" si="0"/>
        <v>Pass</v>
      </c>
      <c r="O27" t="str">
        <f t="shared" si="1"/>
        <v>UnderAge</v>
      </c>
      <c r="P27" t="str" cm="1">
        <f t="array" ref="P27">_xlfn.IFS(K27&gt;90,"Excellent",K27&gt;80,"Very Good",K27&gt;70,"Good",K27&gt;=50,"Poor",K27&lt;50,"Fail")</f>
        <v>Poor</v>
      </c>
      <c r="T27" s="1"/>
    </row>
    <row r="28" spans="1:26" x14ac:dyDescent="0.25">
      <c r="A28" t="s">
        <v>37</v>
      </c>
      <c r="B28" t="s">
        <v>1037</v>
      </c>
      <c r="C28" t="s">
        <v>2088</v>
      </c>
      <c r="D28" t="s">
        <v>2417</v>
      </c>
      <c r="E28" t="s">
        <v>2007</v>
      </c>
      <c r="F28">
        <v>17</v>
      </c>
      <c r="G28" t="s">
        <v>2009</v>
      </c>
      <c r="H28" t="s">
        <v>2015</v>
      </c>
      <c r="I28" t="s">
        <v>2018</v>
      </c>
      <c r="J28" t="s">
        <v>2023</v>
      </c>
      <c r="K28">
        <v>7</v>
      </c>
      <c r="L28" t="s">
        <v>2031</v>
      </c>
      <c r="M28" t="s">
        <v>2036</v>
      </c>
      <c r="N28" t="str">
        <f t="shared" si="0"/>
        <v>Fail</v>
      </c>
      <c r="O28" t="str">
        <f t="shared" si="1"/>
        <v>UnderAge</v>
      </c>
      <c r="P28" t="str" cm="1">
        <f t="array" ref="P28">_xlfn.IFS(K28&gt;90,"Excellent",K28&gt;80,"Very Good",K28&gt;70,"Good",K28&gt;=50,"Poor",K28&lt;50,"Fail")</f>
        <v>Fail</v>
      </c>
    </row>
    <row r="29" spans="1:26" x14ac:dyDescent="0.25">
      <c r="A29" t="s">
        <v>38</v>
      </c>
      <c r="B29" t="s">
        <v>1038</v>
      </c>
      <c r="C29" t="s">
        <v>2089</v>
      </c>
      <c r="D29" t="s">
        <v>2418</v>
      </c>
      <c r="E29" t="s">
        <v>2008</v>
      </c>
      <c r="F29">
        <v>16</v>
      </c>
      <c r="G29" t="s">
        <v>2009</v>
      </c>
      <c r="H29" t="s">
        <v>2017</v>
      </c>
      <c r="I29" t="s">
        <v>2020</v>
      </c>
      <c r="J29" t="s">
        <v>2024</v>
      </c>
      <c r="K29">
        <v>57</v>
      </c>
      <c r="L29" t="s">
        <v>2033</v>
      </c>
      <c r="M29" t="s">
        <v>2035</v>
      </c>
      <c r="N29" t="str">
        <f t="shared" si="0"/>
        <v>Pass</v>
      </c>
      <c r="O29" t="str">
        <f t="shared" si="1"/>
        <v>UnderAge</v>
      </c>
      <c r="P29" t="str" cm="1">
        <f t="array" ref="P29">_xlfn.IFS(K29&gt;90,"Excellent",K29&gt;80,"Very Good",K29&gt;70,"Good",K29&gt;=50,"Poor",K29&lt;50,"Fail")</f>
        <v>Poor</v>
      </c>
      <c r="Y29" s="5"/>
    </row>
    <row r="30" spans="1:26" x14ac:dyDescent="0.25">
      <c r="A30" t="s">
        <v>39</v>
      </c>
      <c r="B30" t="s">
        <v>1039</v>
      </c>
      <c r="C30" t="s">
        <v>2090</v>
      </c>
      <c r="D30" t="s">
        <v>2056</v>
      </c>
      <c r="E30" t="s">
        <v>2008</v>
      </c>
      <c r="F30">
        <v>15</v>
      </c>
      <c r="G30" t="s">
        <v>2013</v>
      </c>
      <c r="H30" t="s">
        <v>2017</v>
      </c>
      <c r="I30" t="s">
        <v>2020</v>
      </c>
      <c r="J30" t="s">
        <v>2024</v>
      </c>
      <c r="K30">
        <v>72</v>
      </c>
      <c r="L30" t="s">
        <v>2034</v>
      </c>
      <c r="M30" t="s">
        <v>2035</v>
      </c>
      <c r="N30" t="str">
        <f t="shared" si="0"/>
        <v>Pass</v>
      </c>
      <c r="O30" t="str">
        <f t="shared" si="1"/>
        <v>UnderAge</v>
      </c>
      <c r="P30" t="str" cm="1">
        <f t="array" ref="P30">_xlfn.IFS(K30&gt;90,"Excellent",K30&gt;80,"Very Good",K30&gt;70,"Good",K30&gt;=50,"Poor",K30&lt;50,"Fail")</f>
        <v>Good</v>
      </c>
    </row>
    <row r="31" spans="1:26" x14ac:dyDescent="0.25">
      <c r="A31" t="s">
        <v>40</v>
      </c>
      <c r="B31" t="s">
        <v>1040</v>
      </c>
      <c r="C31" t="s">
        <v>2078</v>
      </c>
      <c r="D31" t="s">
        <v>2419</v>
      </c>
      <c r="E31" t="s">
        <v>2007</v>
      </c>
      <c r="F31">
        <v>16</v>
      </c>
      <c r="G31" t="s">
        <v>2011</v>
      </c>
      <c r="H31" t="s">
        <v>2017</v>
      </c>
      <c r="I31" t="s">
        <v>2020</v>
      </c>
      <c r="J31" t="s">
        <v>2024</v>
      </c>
      <c r="K31">
        <v>81</v>
      </c>
      <c r="L31" t="s">
        <v>2027</v>
      </c>
      <c r="M31" t="s">
        <v>2035</v>
      </c>
      <c r="N31" t="str">
        <f t="shared" si="0"/>
        <v>Pass</v>
      </c>
      <c r="O31" t="str">
        <f t="shared" si="1"/>
        <v>UnderAge</v>
      </c>
      <c r="P31" t="str" cm="1">
        <f t="array" ref="P31">_xlfn.IFS(K31&gt;90,"Excellent",K31&gt;80,"Very Good",K31&gt;70,"Good",K31&gt;=50,"Poor",K31&lt;50,"Fail")</f>
        <v>Very Good</v>
      </c>
    </row>
    <row r="32" spans="1:26" x14ac:dyDescent="0.25">
      <c r="A32" t="s">
        <v>41</v>
      </c>
      <c r="B32" t="s">
        <v>1041</v>
      </c>
      <c r="C32" t="s">
        <v>2091</v>
      </c>
      <c r="D32" t="s">
        <v>2420</v>
      </c>
      <c r="E32" t="s">
        <v>2008</v>
      </c>
      <c r="F32">
        <v>16</v>
      </c>
      <c r="G32" t="s">
        <v>2011</v>
      </c>
      <c r="H32" t="s">
        <v>2017</v>
      </c>
      <c r="I32" t="s">
        <v>2020</v>
      </c>
      <c r="J32" t="s">
        <v>2023</v>
      </c>
      <c r="K32">
        <v>34</v>
      </c>
      <c r="L32" t="s">
        <v>2032</v>
      </c>
      <c r="M32" t="s">
        <v>2036</v>
      </c>
      <c r="N32" t="str">
        <f t="shared" si="0"/>
        <v>Fail</v>
      </c>
      <c r="O32" t="str">
        <f t="shared" si="1"/>
        <v>UnderAge</v>
      </c>
      <c r="P32" t="str" cm="1">
        <f t="array" ref="P32">_xlfn.IFS(K32&gt;90,"Excellent",K32&gt;80,"Very Good",K32&gt;70,"Good",K32&gt;=50,"Poor",K32&lt;50,"Fail")</f>
        <v>Fail</v>
      </c>
    </row>
    <row r="33" spans="1:16" x14ac:dyDescent="0.25">
      <c r="A33" t="s">
        <v>42</v>
      </c>
      <c r="B33" t="s">
        <v>1042</v>
      </c>
      <c r="C33" t="s">
        <v>2092</v>
      </c>
      <c r="D33" t="s">
        <v>2417</v>
      </c>
      <c r="E33" t="s">
        <v>2008</v>
      </c>
      <c r="F33">
        <v>18</v>
      </c>
      <c r="G33" t="s">
        <v>2011</v>
      </c>
      <c r="H33" t="s">
        <v>2017</v>
      </c>
      <c r="I33" t="s">
        <v>2019</v>
      </c>
      <c r="J33" t="s">
        <v>2024</v>
      </c>
      <c r="K33">
        <v>42</v>
      </c>
      <c r="L33" t="s">
        <v>2034</v>
      </c>
      <c r="M33" t="s">
        <v>2036</v>
      </c>
      <c r="N33" t="str">
        <f t="shared" si="0"/>
        <v>Fail</v>
      </c>
      <c r="O33" t="str">
        <f t="shared" si="1"/>
        <v>Adult</v>
      </c>
      <c r="P33" t="str" cm="1">
        <f t="array" ref="P33">_xlfn.IFS(K33&gt;90,"Excellent",K33&gt;80,"Very Good",K33&gt;70,"Good",K33&gt;=50,"Poor",K33&lt;50,"Fail")</f>
        <v>Fail</v>
      </c>
    </row>
    <row r="34" spans="1:16" x14ac:dyDescent="0.25">
      <c r="A34" t="s">
        <v>43</v>
      </c>
      <c r="B34" t="s">
        <v>1043</v>
      </c>
      <c r="C34" t="s">
        <v>2086</v>
      </c>
      <c r="D34" t="s">
        <v>2421</v>
      </c>
      <c r="E34" t="s">
        <v>2008</v>
      </c>
      <c r="F34">
        <v>16</v>
      </c>
      <c r="G34" t="s">
        <v>2011</v>
      </c>
      <c r="H34" t="s">
        <v>2015</v>
      </c>
      <c r="I34" t="s">
        <v>2019</v>
      </c>
      <c r="J34" t="s">
        <v>2024</v>
      </c>
      <c r="K34">
        <v>77</v>
      </c>
      <c r="L34" t="s">
        <v>2031</v>
      </c>
      <c r="M34" t="s">
        <v>2035</v>
      </c>
      <c r="N34" t="str">
        <f t="shared" si="0"/>
        <v>Pass</v>
      </c>
      <c r="O34" t="str">
        <f t="shared" si="1"/>
        <v>UnderAge</v>
      </c>
      <c r="P34" t="str" cm="1">
        <f t="array" ref="P34">_xlfn.IFS(K34&gt;90,"Excellent",K34&gt;80,"Very Good",K34&gt;70,"Good",K34&gt;=50,"Poor",K34&lt;50,"Fail")</f>
        <v>Good</v>
      </c>
    </row>
    <row r="35" spans="1:16" x14ac:dyDescent="0.25">
      <c r="A35" t="s">
        <v>44</v>
      </c>
      <c r="B35" t="s">
        <v>1044</v>
      </c>
      <c r="C35" t="s">
        <v>2093</v>
      </c>
      <c r="D35" t="s">
        <v>2422</v>
      </c>
      <c r="E35" t="s">
        <v>2008</v>
      </c>
      <c r="F35">
        <v>14</v>
      </c>
      <c r="G35" t="s">
        <v>2012</v>
      </c>
      <c r="H35" t="s">
        <v>2016</v>
      </c>
      <c r="I35" t="s">
        <v>2020</v>
      </c>
      <c r="J35" t="s">
        <v>2023</v>
      </c>
      <c r="K35">
        <v>21</v>
      </c>
      <c r="L35" t="s">
        <v>2033</v>
      </c>
      <c r="M35" t="s">
        <v>2036</v>
      </c>
      <c r="N35" t="str">
        <f t="shared" si="0"/>
        <v>Fail</v>
      </c>
      <c r="O35" t="str">
        <f t="shared" si="1"/>
        <v>UnderAge</v>
      </c>
      <c r="P35" t="str" cm="1">
        <f t="array" ref="P35">_xlfn.IFS(K35&gt;90,"Excellent",K35&gt;80,"Very Good",K35&gt;70,"Good",K35&gt;=50,"Poor",K35&lt;50,"Fail")</f>
        <v>Fail</v>
      </c>
    </row>
    <row r="36" spans="1:16" x14ac:dyDescent="0.25">
      <c r="A36" t="s">
        <v>45</v>
      </c>
      <c r="B36" t="s">
        <v>1045</v>
      </c>
      <c r="C36" t="s">
        <v>2094</v>
      </c>
      <c r="D36" t="s">
        <v>2185</v>
      </c>
      <c r="E36" t="s">
        <v>2008</v>
      </c>
      <c r="F36">
        <v>18</v>
      </c>
      <c r="G36" t="s">
        <v>2013</v>
      </c>
      <c r="H36" t="s">
        <v>2016</v>
      </c>
      <c r="I36" t="s">
        <v>2021</v>
      </c>
      <c r="J36" t="s">
        <v>2024</v>
      </c>
      <c r="K36">
        <v>85</v>
      </c>
      <c r="L36" t="s">
        <v>2028</v>
      </c>
      <c r="M36" t="s">
        <v>2035</v>
      </c>
      <c r="N36" t="str">
        <f t="shared" si="0"/>
        <v>Pass</v>
      </c>
      <c r="O36" t="str">
        <f t="shared" si="1"/>
        <v>Adult</v>
      </c>
      <c r="P36" t="str" cm="1">
        <f t="array" ref="P36">_xlfn.IFS(K36&gt;90,"Excellent",K36&gt;80,"Very Good",K36&gt;70,"Good",K36&gt;=50,"Poor",K36&lt;50,"Fail")</f>
        <v>Very Good</v>
      </c>
    </row>
    <row r="37" spans="1:16" x14ac:dyDescent="0.25">
      <c r="A37" t="s">
        <v>46</v>
      </c>
      <c r="B37" t="s">
        <v>1046</v>
      </c>
      <c r="C37" t="s">
        <v>2095</v>
      </c>
      <c r="D37" t="s">
        <v>2423</v>
      </c>
      <c r="E37" t="s">
        <v>2008</v>
      </c>
      <c r="F37">
        <v>15</v>
      </c>
      <c r="G37" t="s">
        <v>2012</v>
      </c>
      <c r="H37" t="s">
        <v>2015</v>
      </c>
      <c r="I37" t="s">
        <v>2021</v>
      </c>
      <c r="J37" t="s">
        <v>2023</v>
      </c>
      <c r="K37">
        <v>22</v>
      </c>
      <c r="L37" t="s">
        <v>2027</v>
      </c>
      <c r="M37" t="s">
        <v>2036</v>
      </c>
      <c r="N37" t="str">
        <f t="shared" si="0"/>
        <v>Fail</v>
      </c>
      <c r="O37" t="str">
        <f t="shared" si="1"/>
        <v>UnderAge</v>
      </c>
      <c r="P37" t="str" cm="1">
        <f t="array" ref="P37">_xlfn.IFS(K37&gt;90,"Excellent",K37&gt;80,"Very Good",K37&gt;70,"Good",K37&gt;=50,"Poor",K37&lt;50,"Fail")</f>
        <v>Fail</v>
      </c>
    </row>
    <row r="38" spans="1:16" x14ac:dyDescent="0.25">
      <c r="A38" t="s">
        <v>47</v>
      </c>
      <c r="B38" t="s">
        <v>1047</v>
      </c>
      <c r="C38" t="s">
        <v>2096</v>
      </c>
      <c r="D38" t="s">
        <v>2424</v>
      </c>
      <c r="E38" t="s">
        <v>2007</v>
      </c>
      <c r="F38">
        <v>15</v>
      </c>
      <c r="G38" t="s">
        <v>2010</v>
      </c>
      <c r="H38" t="s">
        <v>2017</v>
      </c>
      <c r="I38" t="s">
        <v>2018</v>
      </c>
      <c r="J38" t="s">
        <v>2023</v>
      </c>
      <c r="K38">
        <v>6</v>
      </c>
      <c r="L38" t="s">
        <v>2034</v>
      </c>
      <c r="M38" t="s">
        <v>2036</v>
      </c>
      <c r="N38" t="str">
        <f t="shared" si="0"/>
        <v>Fail</v>
      </c>
      <c r="O38" t="str">
        <f t="shared" si="1"/>
        <v>UnderAge</v>
      </c>
      <c r="P38" t="str" cm="1">
        <f t="array" ref="P38">_xlfn.IFS(K38&gt;90,"Excellent",K38&gt;80,"Very Good",K38&gt;70,"Good",K38&gt;=50,"Poor",K38&lt;50,"Fail")</f>
        <v>Fail</v>
      </c>
    </row>
    <row r="39" spans="1:16" x14ac:dyDescent="0.25">
      <c r="A39" t="s">
        <v>48</v>
      </c>
      <c r="B39" t="s">
        <v>1048</v>
      </c>
      <c r="C39" t="s">
        <v>2097</v>
      </c>
      <c r="D39" t="s">
        <v>2425</v>
      </c>
      <c r="E39" t="s">
        <v>2008</v>
      </c>
      <c r="F39">
        <v>16</v>
      </c>
      <c r="G39" t="s">
        <v>2010</v>
      </c>
      <c r="H39" t="s">
        <v>2015</v>
      </c>
      <c r="I39" t="s">
        <v>2020</v>
      </c>
      <c r="J39" t="s">
        <v>2024</v>
      </c>
      <c r="K39">
        <v>57</v>
      </c>
      <c r="L39" t="s">
        <v>2031</v>
      </c>
      <c r="M39" t="s">
        <v>2035</v>
      </c>
      <c r="N39" t="str">
        <f t="shared" si="0"/>
        <v>Pass</v>
      </c>
      <c r="O39" t="str">
        <f t="shared" si="1"/>
        <v>UnderAge</v>
      </c>
      <c r="P39" t="str" cm="1">
        <f t="array" ref="P39">_xlfn.IFS(K39&gt;90,"Excellent",K39&gt;80,"Very Good",K39&gt;70,"Good",K39&gt;=50,"Poor",K39&lt;50,"Fail")</f>
        <v>Poor</v>
      </c>
    </row>
    <row r="40" spans="1:16" x14ac:dyDescent="0.25">
      <c r="A40" t="s">
        <v>49</v>
      </c>
      <c r="B40" t="s">
        <v>1049</v>
      </c>
      <c r="C40" t="s">
        <v>2098</v>
      </c>
      <c r="D40" t="s">
        <v>2426</v>
      </c>
      <c r="E40" t="s">
        <v>2008</v>
      </c>
      <c r="F40">
        <v>18</v>
      </c>
      <c r="G40" t="s">
        <v>2009</v>
      </c>
      <c r="H40" t="s">
        <v>2017</v>
      </c>
      <c r="I40" t="s">
        <v>2020</v>
      </c>
      <c r="J40" t="s">
        <v>2024</v>
      </c>
      <c r="K40">
        <v>77</v>
      </c>
      <c r="L40" t="s">
        <v>2029</v>
      </c>
      <c r="M40" t="s">
        <v>2035</v>
      </c>
      <c r="N40" t="str">
        <f t="shared" si="0"/>
        <v>Pass</v>
      </c>
      <c r="O40" t="str">
        <f t="shared" si="1"/>
        <v>Adult</v>
      </c>
      <c r="P40" t="str" cm="1">
        <f t="array" ref="P40">_xlfn.IFS(K40&gt;90,"Excellent",K40&gt;80,"Very Good",K40&gt;70,"Good",K40&gt;=50,"Poor",K40&lt;50,"Fail")</f>
        <v>Good</v>
      </c>
    </row>
    <row r="41" spans="1:16" x14ac:dyDescent="0.25">
      <c r="A41" t="s">
        <v>50</v>
      </c>
      <c r="B41" t="s">
        <v>1050</v>
      </c>
      <c r="C41" t="s">
        <v>2099</v>
      </c>
      <c r="D41" t="s">
        <v>2427</v>
      </c>
      <c r="E41" t="s">
        <v>2008</v>
      </c>
      <c r="F41">
        <v>17</v>
      </c>
      <c r="G41" t="s">
        <v>2009</v>
      </c>
      <c r="H41" t="s">
        <v>2016</v>
      </c>
      <c r="I41" t="s">
        <v>2022</v>
      </c>
      <c r="J41" t="s">
        <v>2024</v>
      </c>
      <c r="K41">
        <v>41</v>
      </c>
      <c r="L41" t="s">
        <v>2031</v>
      </c>
      <c r="M41" t="s">
        <v>2036</v>
      </c>
      <c r="N41" t="str">
        <f t="shared" si="0"/>
        <v>Fail</v>
      </c>
      <c r="O41" t="str">
        <f t="shared" si="1"/>
        <v>UnderAge</v>
      </c>
      <c r="P41" t="str" cm="1">
        <f t="array" ref="P41">_xlfn.IFS(K41&gt;90,"Excellent",K41&gt;80,"Very Good",K41&gt;70,"Good",K41&gt;=50,"Poor",K41&lt;50,"Fail")</f>
        <v>Fail</v>
      </c>
    </row>
    <row r="42" spans="1:16" x14ac:dyDescent="0.25">
      <c r="A42" t="s">
        <v>51</v>
      </c>
      <c r="B42" t="s">
        <v>1051</v>
      </c>
      <c r="C42" t="s">
        <v>2065</v>
      </c>
      <c r="D42" t="s">
        <v>2428</v>
      </c>
      <c r="E42" t="s">
        <v>2008</v>
      </c>
      <c r="F42">
        <v>18</v>
      </c>
      <c r="G42" t="s">
        <v>2012</v>
      </c>
      <c r="H42" t="s">
        <v>2015</v>
      </c>
      <c r="I42" t="s">
        <v>2022</v>
      </c>
      <c r="J42" t="s">
        <v>2024</v>
      </c>
      <c r="K42">
        <v>8</v>
      </c>
      <c r="L42" t="s">
        <v>2034</v>
      </c>
      <c r="M42" t="s">
        <v>2036</v>
      </c>
      <c r="N42" t="str">
        <f t="shared" si="0"/>
        <v>Fail</v>
      </c>
      <c r="O42" t="str">
        <f t="shared" si="1"/>
        <v>Adult</v>
      </c>
      <c r="P42" t="str" cm="1">
        <f t="array" ref="P42">_xlfn.IFS(K42&gt;90,"Excellent",K42&gt;80,"Very Good",K42&gt;70,"Good",K42&gt;=50,"Poor",K42&lt;50,"Fail")</f>
        <v>Fail</v>
      </c>
    </row>
    <row r="43" spans="1:16" x14ac:dyDescent="0.25">
      <c r="A43" t="s">
        <v>52</v>
      </c>
      <c r="B43" t="s">
        <v>1052</v>
      </c>
      <c r="C43" t="s">
        <v>2100</v>
      </c>
      <c r="D43" t="s">
        <v>2259</v>
      </c>
      <c r="E43" t="s">
        <v>2008</v>
      </c>
      <c r="F43">
        <v>16</v>
      </c>
      <c r="G43" t="s">
        <v>2013</v>
      </c>
      <c r="H43" t="s">
        <v>2017</v>
      </c>
      <c r="I43" t="s">
        <v>2020</v>
      </c>
      <c r="J43" t="s">
        <v>2024</v>
      </c>
      <c r="K43">
        <v>22</v>
      </c>
      <c r="L43" t="s">
        <v>2030</v>
      </c>
      <c r="M43" t="s">
        <v>2036</v>
      </c>
      <c r="N43" t="str">
        <f t="shared" si="0"/>
        <v>Fail</v>
      </c>
      <c r="O43" t="str">
        <f t="shared" si="1"/>
        <v>UnderAge</v>
      </c>
      <c r="P43" t="str" cm="1">
        <f t="array" ref="P43">_xlfn.IFS(K43&gt;90,"Excellent",K43&gt;80,"Very Good",K43&gt;70,"Good",K43&gt;=50,"Poor",K43&lt;50,"Fail")</f>
        <v>Fail</v>
      </c>
    </row>
    <row r="44" spans="1:16" x14ac:dyDescent="0.25">
      <c r="A44" t="s">
        <v>53</v>
      </c>
      <c r="B44" t="s">
        <v>1053</v>
      </c>
      <c r="C44" t="s">
        <v>2101</v>
      </c>
      <c r="D44" t="s">
        <v>2429</v>
      </c>
      <c r="E44" t="s">
        <v>2008</v>
      </c>
      <c r="F44">
        <v>17</v>
      </c>
      <c r="G44" t="s">
        <v>2010</v>
      </c>
      <c r="H44" t="s">
        <v>2015</v>
      </c>
      <c r="I44" t="s">
        <v>2020</v>
      </c>
      <c r="J44" t="s">
        <v>2023</v>
      </c>
      <c r="K44">
        <v>37</v>
      </c>
      <c r="L44" t="s">
        <v>2031</v>
      </c>
      <c r="M44" t="s">
        <v>2036</v>
      </c>
      <c r="N44" t="str">
        <f t="shared" si="0"/>
        <v>Fail</v>
      </c>
      <c r="O44" t="str">
        <f t="shared" si="1"/>
        <v>UnderAge</v>
      </c>
      <c r="P44" t="str" cm="1">
        <f t="array" ref="P44">_xlfn.IFS(K44&gt;90,"Excellent",K44&gt;80,"Very Good",K44&gt;70,"Good",K44&gt;=50,"Poor",K44&lt;50,"Fail")</f>
        <v>Fail</v>
      </c>
    </row>
    <row r="45" spans="1:16" x14ac:dyDescent="0.25">
      <c r="A45" t="s">
        <v>54</v>
      </c>
      <c r="B45" t="s">
        <v>1054</v>
      </c>
      <c r="C45" t="s">
        <v>2077</v>
      </c>
      <c r="D45" t="s">
        <v>2430</v>
      </c>
      <c r="E45" t="s">
        <v>2007</v>
      </c>
      <c r="F45">
        <v>15</v>
      </c>
      <c r="G45" t="s">
        <v>2012</v>
      </c>
      <c r="H45" t="s">
        <v>2015</v>
      </c>
      <c r="I45" t="s">
        <v>2021</v>
      </c>
      <c r="J45" t="s">
        <v>2023</v>
      </c>
      <c r="K45">
        <v>55</v>
      </c>
      <c r="L45" t="s">
        <v>2027</v>
      </c>
      <c r="M45" t="s">
        <v>2035</v>
      </c>
      <c r="N45" t="str">
        <f t="shared" si="0"/>
        <v>Pass</v>
      </c>
      <c r="O45" t="str">
        <f t="shared" si="1"/>
        <v>UnderAge</v>
      </c>
      <c r="P45" t="str" cm="1">
        <f t="array" ref="P45">_xlfn.IFS(K45&gt;90,"Excellent",K45&gt;80,"Very Good",K45&gt;70,"Good",K45&gt;=50,"Poor",K45&lt;50,"Fail")</f>
        <v>Poor</v>
      </c>
    </row>
    <row r="46" spans="1:16" x14ac:dyDescent="0.25">
      <c r="A46" t="s">
        <v>55</v>
      </c>
      <c r="B46" t="s">
        <v>1055</v>
      </c>
      <c r="C46" t="s">
        <v>2102</v>
      </c>
      <c r="D46" t="s">
        <v>2431</v>
      </c>
      <c r="E46" t="s">
        <v>2008</v>
      </c>
      <c r="F46">
        <v>17</v>
      </c>
      <c r="G46" t="s">
        <v>2009</v>
      </c>
      <c r="H46" t="s">
        <v>2015</v>
      </c>
      <c r="I46" t="s">
        <v>2022</v>
      </c>
      <c r="J46" t="s">
        <v>2024</v>
      </c>
      <c r="K46">
        <v>73</v>
      </c>
      <c r="L46" t="s">
        <v>2033</v>
      </c>
      <c r="M46" t="s">
        <v>2035</v>
      </c>
      <c r="N46" t="str">
        <f t="shared" si="0"/>
        <v>Pass</v>
      </c>
      <c r="O46" t="str">
        <f t="shared" si="1"/>
        <v>UnderAge</v>
      </c>
      <c r="P46" t="str" cm="1">
        <f t="array" ref="P46">_xlfn.IFS(K46&gt;90,"Excellent",K46&gt;80,"Very Good",K46&gt;70,"Good",K46&gt;=50,"Poor",K46&lt;50,"Fail")</f>
        <v>Good</v>
      </c>
    </row>
    <row r="47" spans="1:16" x14ac:dyDescent="0.25">
      <c r="A47" t="s">
        <v>56</v>
      </c>
      <c r="B47" t="s">
        <v>1056</v>
      </c>
      <c r="C47" t="s">
        <v>2103</v>
      </c>
      <c r="D47" t="s">
        <v>2432</v>
      </c>
      <c r="E47" t="s">
        <v>2007</v>
      </c>
      <c r="F47">
        <v>18</v>
      </c>
      <c r="G47" t="s">
        <v>2011</v>
      </c>
      <c r="H47" t="s">
        <v>2014</v>
      </c>
      <c r="I47" t="s">
        <v>2022</v>
      </c>
      <c r="J47" t="s">
        <v>2023</v>
      </c>
      <c r="K47">
        <v>58</v>
      </c>
      <c r="L47" t="s">
        <v>2033</v>
      </c>
      <c r="M47" t="s">
        <v>2035</v>
      </c>
      <c r="N47" t="str">
        <f t="shared" si="0"/>
        <v>Pass</v>
      </c>
      <c r="O47" t="str">
        <f t="shared" si="1"/>
        <v>Adult</v>
      </c>
      <c r="P47" t="str" cm="1">
        <f t="array" ref="P47">_xlfn.IFS(K47&gt;90,"Excellent",K47&gt;80,"Very Good",K47&gt;70,"Good",K47&gt;=50,"Poor",K47&lt;50,"Fail")</f>
        <v>Poor</v>
      </c>
    </row>
    <row r="48" spans="1:16" x14ac:dyDescent="0.25">
      <c r="A48" t="s">
        <v>57</v>
      </c>
      <c r="B48" t="s">
        <v>1057</v>
      </c>
      <c r="C48" t="s">
        <v>2104</v>
      </c>
      <c r="D48" t="s">
        <v>2433</v>
      </c>
      <c r="E48" t="s">
        <v>2008</v>
      </c>
      <c r="F48">
        <v>18</v>
      </c>
      <c r="G48" t="s">
        <v>2011</v>
      </c>
      <c r="H48" t="s">
        <v>2014</v>
      </c>
      <c r="I48" t="s">
        <v>2019</v>
      </c>
      <c r="J48" t="s">
        <v>2023</v>
      </c>
      <c r="K48">
        <v>49</v>
      </c>
      <c r="L48" t="s">
        <v>2027</v>
      </c>
      <c r="M48" t="s">
        <v>2036</v>
      </c>
      <c r="N48" t="str">
        <f t="shared" si="0"/>
        <v>Fail</v>
      </c>
      <c r="O48" t="str">
        <f t="shared" si="1"/>
        <v>Adult</v>
      </c>
      <c r="P48" t="str" cm="1">
        <f t="array" ref="P48">_xlfn.IFS(K48&gt;90,"Excellent",K48&gt;80,"Very Good",K48&gt;70,"Good",K48&gt;=50,"Poor",K48&lt;50,"Fail")</f>
        <v>Fail</v>
      </c>
    </row>
    <row r="49" spans="1:16" x14ac:dyDescent="0.25">
      <c r="A49" t="s">
        <v>58</v>
      </c>
      <c r="B49" t="s">
        <v>1058</v>
      </c>
      <c r="C49" t="s">
        <v>2105</v>
      </c>
      <c r="D49" t="s">
        <v>2434</v>
      </c>
      <c r="E49" t="s">
        <v>2008</v>
      </c>
      <c r="F49">
        <v>17</v>
      </c>
      <c r="G49" t="s">
        <v>2010</v>
      </c>
      <c r="H49" t="s">
        <v>2017</v>
      </c>
      <c r="I49" t="s">
        <v>2018</v>
      </c>
      <c r="J49" t="s">
        <v>2024</v>
      </c>
      <c r="K49">
        <v>78</v>
      </c>
      <c r="L49" t="s">
        <v>2030</v>
      </c>
      <c r="M49" t="s">
        <v>2035</v>
      </c>
      <c r="N49" t="str">
        <f t="shared" si="0"/>
        <v>Pass</v>
      </c>
      <c r="O49" t="str">
        <f t="shared" si="1"/>
        <v>UnderAge</v>
      </c>
      <c r="P49" t="str" cm="1">
        <f t="array" ref="P49">_xlfn.IFS(K49&gt;90,"Excellent",K49&gt;80,"Very Good",K49&gt;70,"Good",K49&gt;=50,"Poor",K49&lt;50,"Fail")</f>
        <v>Good</v>
      </c>
    </row>
    <row r="50" spans="1:16" x14ac:dyDescent="0.25">
      <c r="A50" t="s">
        <v>59</v>
      </c>
      <c r="B50" t="s">
        <v>1059</v>
      </c>
      <c r="C50" t="s">
        <v>2099</v>
      </c>
      <c r="D50" t="s">
        <v>2046</v>
      </c>
      <c r="E50" t="s">
        <v>2008</v>
      </c>
      <c r="F50">
        <v>16</v>
      </c>
      <c r="G50" t="s">
        <v>2013</v>
      </c>
      <c r="H50" t="s">
        <v>2017</v>
      </c>
      <c r="I50" t="s">
        <v>2020</v>
      </c>
      <c r="J50" t="s">
        <v>2023</v>
      </c>
      <c r="K50">
        <v>67</v>
      </c>
      <c r="L50" t="s">
        <v>2026</v>
      </c>
      <c r="M50" t="s">
        <v>2035</v>
      </c>
      <c r="N50" t="str">
        <f t="shared" si="0"/>
        <v>Pass</v>
      </c>
      <c r="O50" t="str">
        <f t="shared" si="1"/>
        <v>UnderAge</v>
      </c>
      <c r="P50" t="str" cm="1">
        <f t="array" ref="P50">_xlfn.IFS(K50&gt;90,"Excellent",K50&gt;80,"Very Good",K50&gt;70,"Good",K50&gt;=50,"Poor",K50&lt;50,"Fail")</f>
        <v>Poor</v>
      </c>
    </row>
    <row r="51" spans="1:16" x14ac:dyDescent="0.25">
      <c r="A51" t="s">
        <v>60</v>
      </c>
      <c r="B51" t="s">
        <v>1060</v>
      </c>
      <c r="C51" t="s">
        <v>2106</v>
      </c>
      <c r="D51" t="s">
        <v>2435</v>
      </c>
      <c r="E51" t="s">
        <v>2007</v>
      </c>
      <c r="F51">
        <v>15</v>
      </c>
      <c r="G51" t="s">
        <v>2012</v>
      </c>
      <c r="H51" t="s">
        <v>2016</v>
      </c>
      <c r="I51" t="s">
        <v>2021</v>
      </c>
      <c r="J51" t="s">
        <v>2023</v>
      </c>
      <c r="K51">
        <v>35</v>
      </c>
      <c r="L51" t="s">
        <v>2030</v>
      </c>
      <c r="M51" t="s">
        <v>2036</v>
      </c>
      <c r="N51" t="str">
        <f t="shared" si="0"/>
        <v>Fail</v>
      </c>
      <c r="O51" t="str">
        <f t="shared" si="1"/>
        <v>UnderAge</v>
      </c>
      <c r="P51" t="str" cm="1">
        <f t="array" ref="P51">_xlfn.IFS(K51&gt;90,"Excellent",K51&gt;80,"Very Good",K51&gt;70,"Good",K51&gt;=50,"Poor",K51&lt;50,"Fail")</f>
        <v>Fail</v>
      </c>
    </row>
    <row r="52" spans="1:16" x14ac:dyDescent="0.25">
      <c r="A52" t="s">
        <v>61</v>
      </c>
      <c r="B52" t="s">
        <v>1061</v>
      </c>
      <c r="C52" t="s">
        <v>2107</v>
      </c>
      <c r="D52" t="s">
        <v>2436</v>
      </c>
      <c r="E52" t="s">
        <v>2008</v>
      </c>
      <c r="F52">
        <v>15</v>
      </c>
      <c r="G52" t="s">
        <v>2012</v>
      </c>
      <c r="H52" t="s">
        <v>2017</v>
      </c>
      <c r="I52" t="s">
        <v>2020</v>
      </c>
      <c r="J52" t="s">
        <v>2023</v>
      </c>
      <c r="K52">
        <v>44</v>
      </c>
      <c r="L52" t="s">
        <v>2027</v>
      </c>
      <c r="M52" t="s">
        <v>2036</v>
      </c>
      <c r="N52" t="str">
        <f t="shared" si="0"/>
        <v>Fail</v>
      </c>
      <c r="O52" t="str">
        <f t="shared" si="1"/>
        <v>UnderAge</v>
      </c>
      <c r="P52" t="str" cm="1">
        <f t="array" ref="P52">_xlfn.IFS(K52&gt;90,"Excellent",K52&gt;80,"Very Good",K52&gt;70,"Good",K52&gt;=50,"Poor",K52&lt;50,"Fail")</f>
        <v>Fail</v>
      </c>
    </row>
    <row r="53" spans="1:16" x14ac:dyDescent="0.25">
      <c r="A53" t="s">
        <v>62</v>
      </c>
      <c r="B53" t="s">
        <v>1062</v>
      </c>
      <c r="C53" t="s">
        <v>2108</v>
      </c>
      <c r="D53" t="s">
        <v>2437</v>
      </c>
      <c r="E53" t="s">
        <v>2007</v>
      </c>
      <c r="F53">
        <v>18</v>
      </c>
      <c r="G53" t="s">
        <v>2011</v>
      </c>
      <c r="H53" t="s">
        <v>2016</v>
      </c>
      <c r="I53" t="s">
        <v>2021</v>
      </c>
      <c r="J53" t="s">
        <v>2024</v>
      </c>
      <c r="K53">
        <v>27</v>
      </c>
      <c r="L53" t="s">
        <v>2034</v>
      </c>
      <c r="M53" t="s">
        <v>2036</v>
      </c>
      <c r="N53" t="str">
        <f t="shared" si="0"/>
        <v>Fail</v>
      </c>
      <c r="O53" t="str">
        <f t="shared" si="1"/>
        <v>Adult</v>
      </c>
      <c r="P53" t="str" cm="1">
        <f t="array" ref="P53">_xlfn.IFS(K53&gt;90,"Excellent",K53&gt;80,"Very Good",K53&gt;70,"Good",K53&gt;=50,"Poor",K53&lt;50,"Fail")</f>
        <v>Fail</v>
      </c>
    </row>
    <row r="54" spans="1:16" x14ac:dyDescent="0.25">
      <c r="A54" t="s">
        <v>63</v>
      </c>
      <c r="B54" t="s">
        <v>1063</v>
      </c>
      <c r="C54" t="s">
        <v>2109</v>
      </c>
      <c r="D54" t="s">
        <v>2438</v>
      </c>
      <c r="E54" t="s">
        <v>2008</v>
      </c>
      <c r="F54">
        <v>15</v>
      </c>
      <c r="G54" t="s">
        <v>2009</v>
      </c>
      <c r="H54" t="s">
        <v>2017</v>
      </c>
      <c r="I54" t="s">
        <v>2018</v>
      </c>
      <c r="J54" t="s">
        <v>2024</v>
      </c>
      <c r="K54">
        <v>69</v>
      </c>
      <c r="L54" t="s">
        <v>2034</v>
      </c>
      <c r="M54" t="s">
        <v>2035</v>
      </c>
      <c r="N54" t="str">
        <f t="shared" si="0"/>
        <v>Pass</v>
      </c>
      <c r="O54" t="str">
        <f t="shared" si="1"/>
        <v>UnderAge</v>
      </c>
      <c r="P54" t="str" cm="1">
        <f t="array" ref="P54">_xlfn.IFS(K54&gt;90,"Excellent",K54&gt;80,"Very Good",K54&gt;70,"Good",K54&gt;=50,"Poor",K54&lt;50,"Fail")</f>
        <v>Poor</v>
      </c>
    </row>
    <row r="55" spans="1:16" x14ac:dyDescent="0.25">
      <c r="A55" t="s">
        <v>64</v>
      </c>
      <c r="B55" t="s">
        <v>1064</v>
      </c>
      <c r="C55" t="s">
        <v>2071</v>
      </c>
      <c r="D55" t="s">
        <v>2439</v>
      </c>
      <c r="E55" t="s">
        <v>2008</v>
      </c>
      <c r="F55">
        <v>15</v>
      </c>
      <c r="G55" t="s">
        <v>2009</v>
      </c>
      <c r="H55" t="s">
        <v>2015</v>
      </c>
      <c r="I55" t="s">
        <v>2022</v>
      </c>
      <c r="J55" t="s">
        <v>2024</v>
      </c>
      <c r="K55">
        <v>99</v>
      </c>
      <c r="L55" t="s">
        <v>2030</v>
      </c>
      <c r="M55" t="s">
        <v>2035</v>
      </c>
      <c r="N55" t="str">
        <f t="shared" si="0"/>
        <v>Pass</v>
      </c>
      <c r="O55" t="str">
        <f t="shared" si="1"/>
        <v>UnderAge</v>
      </c>
      <c r="P55" t="str" cm="1">
        <f t="array" ref="P55">_xlfn.IFS(K55&gt;90,"Excellent",K55&gt;80,"Very Good",K55&gt;70,"Good",K55&gt;=50,"Poor",K55&lt;50,"Fail")</f>
        <v>Excellent</v>
      </c>
    </row>
    <row r="56" spans="1:16" x14ac:dyDescent="0.25">
      <c r="A56" t="s">
        <v>65</v>
      </c>
      <c r="B56" t="s">
        <v>1065</v>
      </c>
      <c r="C56" t="s">
        <v>2110</v>
      </c>
      <c r="D56" t="s">
        <v>2440</v>
      </c>
      <c r="E56" t="s">
        <v>2007</v>
      </c>
      <c r="F56">
        <v>17</v>
      </c>
      <c r="G56" t="s">
        <v>2009</v>
      </c>
      <c r="H56" t="s">
        <v>2016</v>
      </c>
      <c r="I56" t="s">
        <v>2018</v>
      </c>
      <c r="J56" t="s">
        <v>2024</v>
      </c>
      <c r="K56">
        <v>35</v>
      </c>
      <c r="L56" t="s">
        <v>2027</v>
      </c>
      <c r="M56" t="s">
        <v>2036</v>
      </c>
      <c r="N56" t="str">
        <f t="shared" si="0"/>
        <v>Fail</v>
      </c>
      <c r="O56" t="str">
        <f t="shared" si="1"/>
        <v>UnderAge</v>
      </c>
      <c r="P56" t="str" cm="1">
        <f t="array" ref="P56">_xlfn.IFS(K56&gt;90,"Excellent",K56&gt;80,"Very Good",K56&gt;70,"Good",K56&gt;=50,"Poor",K56&lt;50,"Fail")</f>
        <v>Fail</v>
      </c>
    </row>
    <row r="57" spans="1:16" x14ac:dyDescent="0.25">
      <c r="A57" t="s">
        <v>66</v>
      </c>
      <c r="B57" t="s">
        <v>1066</v>
      </c>
      <c r="C57" t="s">
        <v>2111</v>
      </c>
      <c r="D57" t="s">
        <v>2060</v>
      </c>
      <c r="E57" t="s">
        <v>2007</v>
      </c>
      <c r="F57">
        <v>17</v>
      </c>
      <c r="G57" t="s">
        <v>2011</v>
      </c>
      <c r="H57" t="s">
        <v>2015</v>
      </c>
      <c r="I57" t="s">
        <v>2022</v>
      </c>
      <c r="J57" t="s">
        <v>2024</v>
      </c>
      <c r="K57">
        <v>76</v>
      </c>
      <c r="L57" t="s">
        <v>2033</v>
      </c>
      <c r="M57" t="s">
        <v>2035</v>
      </c>
      <c r="N57" t="str">
        <f t="shared" si="0"/>
        <v>Pass</v>
      </c>
      <c r="O57" t="str">
        <f t="shared" si="1"/>
        <v>UnderAge</v>
      </c>
      <c r="P57" t="str" cm="1">
        <f t="array" ref="P57">_xlfn.IFS(K57&gt;90,"Excellent",K57&gt;80,"Very Good",K57&gt;70,"Good",K57&gt;=50,"Poor",K57&lt;50,"Fail")</f>
        <v>Good</v>
      </c>
    </row>
    <row r="58" spans="1:16" x14ac:dyDescent="0.25">
      <c r="A58" t="s">
        <v>67</v>
      </c>
      <c r="B58" t="s">
        <v>1067</v>
      </c>
      <c r="C58" t="s">
        <v>2112</v>
      </c>
      <c r="D58" t="s">
        <v>2441</v>
      </c>
      <c r="E58" t="s">
        <v>2007</v>
      </c>
      <c r="F58">
        <v>18</v>
      </c>
      <c r="G58" t="s">
        <v>2010</v>
      </c>
      <c r="H58" t="s">
        <v>2016</v>
      </c>
      <c r="I58" t="s">
        <v>2020</v>
      </c>
      <c r="J58" t="s">
        <v>2024</v>
      </c>
      <c r="K58">
        <v>4</v>
      </c>
      <c r="L58" t="s">
        <v>2025</v>
      </c>
      <c r="M58" t="s">
        <v>2036</v>
      </c>
      <c r="N58" t="str">
        <f t="shared" si="0"/>
        <v>Fail</v>
      </c>
      <c r="O58" t="str">
        <f t="shared" si="1"/>
        <v>Adult</v>
      </c>
      <c r="P58" t="str" cm="1">
        <f t="array" ref="P58">_xlfn.IFS(K58&gt;90,"Excellent",K58&gt;80,"Very Good",K58&gt;70,"Good",K58&gt;=50,"Poor",K58&lt;50,"Fail")</f>
        <v>Fail</v>
      </c>
    </row>
    <row r="59" spans="1:16" x14ac:dyDescent="0.25">
      <c r="A59" t="s">
        <v>68</v>
      </c>
      <c r="B59" t="s">
        <v>1068</v>
      </c>
      <c r="C59" t="s">
        <v>2113</v>
      </c>
      <c r="D59" t="s">
        <v>2442</v>
      </c>
      <c r="E59" t="s">
        <v>2008</v>
      </c>
      <c r="F59">
        <v>15</v>
      </c>
      <c r="G59" t="s">
        <v>2011</v>
      </c>
      <c r="H59" t="s">
        <v>2016</v>
      </c>
      <c r="I59" t="s">
        <v>2019</v>
      </c>
      <c r="J59" t="s">
        <v>2023</v>
      </c>
      <c r="K59">
        <v>53</v>
      </c>
      <c r="L59" t="s">
        <v>2033</v>
      </c>
      <c r="M59" t="s">
        <v>2035</v>
      </c>
      <c r="N59" t="str">
        <f t="shared" si="0"/>
        <v>Pass</v>
      </c>
      <c r="O59" t="str">
        <f t="shared" si="1"/>
        <v>UnderAge</v>
      </c>
      <c r="P59" t="str" cm="1">
        <f t="array" ref="P59">_xlfn.IFS(K59&gt;90,"Excellent",K59&gt;80,"Very Good",K59&gt;70,"Good",K59&gt;=50,"Poor",K59&lt;50,"Fail")</f>
        <v>Poor</v>
      </c>
    </row>
    <row r="60" spans="1:16" x14ac:dyDescent="0.25">
      <c r="A60" t="s">
        <v>69</v>
      </c>
      <c r="B60" t="s">
        <v>1069</v>
      </c>
      <c r="C60" t="s">
        <v>2114</v>
      </c>
      <c r="D60" t="s">
        <v>2056</v>
      </c>
      <c r="E60" t="s">
        <v>2007</v>
      </c>
      <c r="F60">
        <v>18</v>
      </c>
      <c r="G60" t="s">
        <v>2012</v>
      </c>
      <c r="H60" t="s">
        <v>2014</v>
      </c>
      <c r="I60" t="s">
        <v>2022</v>
      </c>
      <c r="J60" t="s">
        <v>2024</v>
      </c>
      <c r="K60">
        <v>97</v>
      </c>
      <c r="L60" t="s">
        <v>2033</v>
      </c>
      <c r="M60" t="s">
        <v>2035</v>
      </c>
      <c r="N60" t="str">
        <f t="shared" si="0"/>
        <v>Pass</v>
      </c>
      <c r="O60" t="str">
        <f t="shared" si="1"/>
        <v>Adult</v>
      </c>
      <c r="P60" t="str" cm="1">
        <f t="array" ref="P60">_xlfn.IFS(K60&gt;90,"Excellent",K60&gt;80,"Very Good",K60&gt;70,"Good",K60&gt;=50,"Poor",K60&lt;50,"Fail")</f>
        <v>Excellent</v>
      </c>
    </row>
    <row r="61" spans="1:16" x14ac:dyDescent="0.25">
      <c r="A61" t="s">
        <v>70</v>
      </c>
      <c r="B61" t="s">
        <v>1070</v>
      </c>
      <c r="C61" t="s">
        <v>2115</v>
      </c>
      <c r="D61" t="s">
        <v>2443</v>
      </c>
      <c r="E61" t="s">
        <v>2008</v>
      </c>
      <c r="F61">
        <v>18</v>
      </c>
      <c r="G61" t="s">
        <v>2010</v>
      </c>
      <c r="H61" t="s">
        <v>2017</v>
      </c>
      <c r="I61" t="s">
        <v>2020</v>
      </c>
      <c r="J61" t="s">
        <v>2023</v>
      </c>
      <c r="K61">
        <v>39</v>
      </c>
      <c r="L61" t="s">
        <v>2033</v>
      </c>
      <c r="M61" t="s">
        <v>2036</v>
      </c>
      <c r="N61" t="str">
        <f t="shared" si="0"/>
        <v>Fail</v>
      </c>
      <c r="O61" t="str">
        <f t="shared" si="1"/>
        <v>Adult</v>
      </c>
      <c r="P61" t="str" cm="1">
        <f t="array" ref="P61">_xlfn.IFS(K61&gt;90,"Excellent",K61&gt;80,"Very Good",K61&gt;70,"Good",K61&gt;=50,"Poor",K61&lt;50,"Fail")</f>
        <v>Fail</v>
      </c>
    </row>
    <row r="62" spans="1:16" x14ac:dyDescent="0.25">
      <c r="A62" t="s">
        <v>71</v>
      </c>
      <c r="B62" t="s">
        <v>1071</v>
      </c>
      <c r="C62" t="s">
        <v>2116</v>
      </c>
      <c r="D62" t="s">
        <v>2444</v>
      </c>
      <c r="E62" t="s">
        <v>2007</v>
      </c>
      <c r="F62">
        <v>18</v>
      </c>
      <c r="G62" t="s">
        <v>2013</v>
      </c>
      <c r="H62" t="s">
        <v>2016</v>
      </c>
      <c r="I62" t="s">
        <v>2018</v>
      </c>
      <c r="J62" t="s">
        <v>2023</v>
      </c>
      <c r="K62">
        <v>72</v>
      </c>
      <c r="L62" t="s">
        <v>2033</v>
      </c>
      <c r="M62" t="s">
        <v>2035</v>
      </c>
      <c r="N62" t="str">
        <f t="shared" si="0"/>
        <v>Pass</v>
      </c>
      <c r="O62" t="str">
        <f t="shared" si="1"/>
        <v>Adult</v>
      </c>
      <c r="P62" t="str" cm="1">
        <f t="array" ref="P62">_xlfn.IFS(K62&gt;90,"Excellent",K62&gt;80,"Very Good",K62&gt;70,"Good",K62&gt;=50,"Poor",K62&lt;50,"Fail")</f>
        <v>Good</v>
      </c>
    </row>
    <row r="63" spans="1:16" x14ac:dyDescent="0.25">
      <c r="A63" t="s">
        <v>72</v>
      </c>
      <c r="B63" t="s">
        <v>1072</v>
      </c>
      <c r="C63" t="s">
        <v>2117</v>
      </c>
      <c r="D63" t="s">
        <v>2445</v>
      </c>
      <c r="E63" t="s">
        <v>2008</v>
      </c>
      <c r="F63">
        <v>18</v>
      </c>
      <c r="G63" t="s">
        <v>2010</v>
      </c>
      <c r="H63" t="s">
        <v>2016</v>
      </c>
      <c r="I63" t="s">
        <v>2020</v>
      </c>
      <c r="J63" t="s">
        <v>2023</v>
      </c>
      <c r="K63">
        <v>0</v>
      </c>
      <c r="L63" t="s">
        <v>2031</v>
      </c>
      <c r="M63" t="s">
        <v>2036</v>
      </c>
      <c r="N63" t="str">
        <f t="shared" si="0"/>
        <v>Fail</v>
      </c>
      <c r="O63" t="str">
        <f t="shared" si="1"/>
        <v>Adult</v>
      </c>
      <c r="P63" t="str" cm="1">
        <f t="array" ref="P63">_xlfn.IFS(K63&gt;90,"Excellent",K63&gt;80,"Very Good",K63&gt;70,"Good",K63&gt;=50,"Poor",K63&lt;50,"Fail")</f>
        <v>Fail</v>
      </c>
    </row>
    <row r="64" spans="1:16" x14ac:dyDescent="0.25">
      <c r="A64" t="s">
        <v>73</v>
      </c>
      <c r="B64" t="s">
        <v>1073</v>
      </c>
      <c r="C64" t="s">
        <v>2118</v>
      </c>
      <c r="D64" t="s">
        <v>2151</v>
      </c>
      <c r="E64" t="s">
        <v>2008</v>
      </c>
      <c r="F64">
        <v>16</v>
      </c>
      <c r="G64" t="s">
        <v>2011</v>
      </c>
      <c r="H64" t="s">
        <v>2014</v>
      </c>
      <c r="I64" t="s">
        <v>2019</v>
      </c>
      <c r="J64" t="s">
        <v>2023</v>
      </c>
      <c r="K64">
        <v>15</v>
      </c>
      <c r="L64" t="s">
        <v>2029</v>
      </c>
      <c r="M64" t="s">
        <v>2036</v>
      </c>
      <c r="N64" t="str">
        <f t="shared" si="0"/>
        <v>Fail</v>
      </c>
      <c r="O64" t="str">
        <f t="shared" si="1"/>
        <v>UnderAge</v>
      </c>
      <c r="P64" t="str" cm="1">
        <f t="array" ref="P64">_xlfn.IFS(K64&gt;90,"Excellent",K64&gt;80,"Very Good",K64&gt;70,"Good",K64&gt;=50,"Poor",K64&lt;50,"Fail")</f>
        <v>Fail</v>
      </c>
    </row>
    <row r="65" spans="1:16" x14ac:dyDescent="0.25">
      <c r="A65" t="s">
        <v>74</v>
      </c>
      <c r="B65" t="s">
        <v>1074</v>
      </c>
      <c r="C65" t="s">
        <v>2119</v>
      </c>
      <c r="D65" t="s">
        <v>2446</v>
      </c>
      <c r="E65" t="s">
        <v>2007</v>
      </c>
      <c r="F65">
        <v>18</v>
      </c>
      <c r="G65" t="s">
        <v>2013</v>
      </c>
      <c r="H65" t="s">
        <v>2015</v>
      </c>
      <c r="I65" t="s">
        <v>2020</v>
      </c>
      <c r="J65" t="s">
        <v>2023</v>
      </c>
      <c r="K65">
        <v>37</v>
      </c>
      <c r="L65" t="s">
        <v>2025</v>
      </c>
      <c r="M65" t="s">
        <v>2036</v>
      </c>
      <c r="N65" t="str">
        <f t="shared" si="0"/>
        <v>Fail</v>
      </c>
      <c r="O65" t="str">
        <f t="shared" si="1"/>
        <v>Adult</v>
      </c>
      <c r="P65" t="str" cm="1">
        <f t="array" ref="P65">_xlfn.IFS(K65&gt;90,"Excellent",K65&gt;80,"Very Good",K65&gt;70,"Good",K65&gt;=50,"Poor",K65&lt;50,"Fail")</f>
        <v>Fail</v>
      </c>
    </row>
    <row r="66" spans="1:16" x14ac:dyDescent="0.25">
      <c r="A66" t="s">
        <v>75</v>
      </c>
      <c r="B66" t="s">
        <v>1075</v>
      </c>
      <c r="C66" t="s">
        <v>2095</v>
      </c>
      <c r="D66" t="s">
        <v>2230</v>
      </c>
      <c r="E66" t="s">
        <v>2007</v>
      </c>
      <c r="F66">
        <v>16</v>
      </c>
      <c r="G66" t="s">
        <v>2013</v>
      </c>
      <c r="H66" t="s">
        <v>2016</v>
      </c>
      <c r="I66" t="s">
        <v>2022</v>
      </c>
      <c r="J66" t="s">
        <v>2023</v>
      </c>
      <c r="K66">
        <v>37</v>
      </c>
      <c r="L66" t="s">
        <v>2025</v>
      </c>
      <c r="M66" t="s">
        <v>2036</v>
      </c>
      <c r="N66" t="str">
        <f t="shared" si="0"/>
        <v>Fail</v>
      </c>
      <c r="O66" t="str">
        <f t="shared" si="1"/>
        <v>UnderAge</v>
      </c>
      <c r="P66" t="str" cm="1">
        <f t="array" ref="P66">_xlfn.IFS(K66&gt;90,"Excellent",K66&gt;80,"Very Good",K66&gt;70,"Good",K66&gt;=50,"Poor",K66&lt;50,"Fail")</f>
        <v>Fail</v>
      </c>
    </row>
    <row r="67" spans="1:16" x14ac:dyDescent="0.25">
      <c r="A67" t="s">
        <v>76</v>
      </c>
      <c r="B67" t="s">
        <v>1076</v>
      </c>
      <c r="C67" t="s">
        <v>2120</v>
      </c>
      <c r="D67" t="s">
        <v>2447</v>
      </c>
      <c r="E67" t="s">
        <v>2007</v>
      </c>
      <c r="F67">
        <v>18</v>
      </c>
      <c r="G67" t="s">
        <v>2013</v>
      </c>
      <c r="H67" t="s">
        <v>2017</v>
      </c>
      <c r="I67" t="s">
        <v>2020</v>
      </c>
      <c r="J67" t="s">
        <v>2023</v>
      </c>
      <c r="K67">
        <v>18</v>
      </c>
      <c r="L67" t="s">
        <v>2034</v>
      </c>
      <c r="M67" t="s">
        <v>2036</v>
      </c>
      <c r="N67" t="str">
        <f t="shared" ref="N67:N130" si="2">IF(K67&gt;=50,"Pass","Fail")</f>
        <v>Fail</v>
      </c>
      <c r="O67" t="str">
        <f t="shared" ref="O67:O130" si="3">IF(F67&gt;=18,"Adult","UnderAge")</f>
        <v>Adult</v>
      </c>
      <c r="P67" t="str" cm="1">
        <f t="array" ref="P67">_xlfn.IFS(K67&gt;90,"Excellent",K67&gt;80,"Very Good",K67&gt;70,"Good",K67&gt;=50,"Poor",K67&lt;50,"Fail")</f>
        <v>Fail</v>
      </c>
    </row>
    <row r="68" spans="1:16" x14ac:dyDescent="0.25">
      <c r="A68" t="s">
        <v>77</v>
      </c>
      <c r="B68" t="s">
        <v>1077</v>
      </c>
      <c r="C68" t="s">
        <v>2121</v>
      </c>
      <c r="D68" t="s">
        <v>2448</v>
      </c>
      <c r="E68" t="s">
        <v>2007</v>
      </c>
      <c r="F68">
        <v>16</v>
      </c>
      <c r="G68" t="s">
        <v>2009</v>
      </c>
      <c r="H68" t="s">
        <v>2017</v>
      </c>
      <c r="I68" t="s">
        <v>2022</v>
      </c>
      <c r="J68" t="s">
        <v>2023</v>
      </c>
      <c r="K68">
        <v>36</v>
      </c>
      <c r="L68" t="s">
        <v>2028</v>
      </c>
      <c r="M68" t="s">
        <v>2036</v>
      </c>
      <c r="N68" t="str">
        <f t="shared" si="2"/>
        <v>Fail</v>
      </c>
      <c r="O68" t="str">
        <f t="shared" si="3"/>
        <v>UnderAge</v>
      </c>
      <c r="P68" t="str" cm="1">
        <f t="array" ref="P68">_xlfn.IFS(K68&gt;90,"Excellent",K68&gt;80,"Very Good",K68&gt;70,"Good",K68&gt;=50,"Poor",K68&lt;50,"Fail")</f>
        <v>Fail</v>
      </c>
    </row>
    <row r="69" spans="1:16" x14ac:dyDescent="0.25">
      <c r="A69" t="s">
        <v>78</v>
      </c>
      <c r="B69" t="s">
        <v>1078</v>
      </c>
      <c r="C69" t="s">
        <v>2122</v>
      </c>
      <c r="D69" t="s">
        <v>2069</v>
      </c>
      <c r="E69" t="s">
        <v>2008</v>
      </c>
      <c r="F69">
        <v>17</v>
      </c>
      <c r="G69" t="s">
        <v>2009</v>
      </c>
      <c r="H69" t="s">
        <v>2017</v>
      </c>
      <c r="I69" t="s">
        <v>2019</v>
      </c>
      <c r="J69" t="s">
        <v>2023</v>
      </c>
      <c r="K69">
        <v>17</v>
      </c>
      <c r="L69" t="s">
        <v>2029</v>
      </c>
      <c r="M69" t="s">
        <v>2036</v>
      </c>
      <c r="N69" t="str">
        <f t="shared" si="2"/>
        <v>Fail</v>
      </c>
      <c r="O69" t="str">
        <f t="shared" si="3"/>
        <v>UnderAge</v>
      </c>
      <c r="P69" t="str" cm="1">
        <f t="array" ref="P69">_xlfn.IFS(K69&gt;90,"Excellent",K69&gt;80,"Very Good",K69&gt;70,"Good",K69&gt;=50,"Poor",K69&lt;50,"Fail")</f>
        <v>Fail</v>
      </c>
    </row>
    <row r="70" spans="1:16" x14ac:dyDescent="0.25">
      <c r="A70" t="s">
        <v>79</v>
      </c>
      <c r="B70" t="s">
        <v>1079</v>
      </c>
      <c r="C70" t="s">
        <v>2123</v>
      </c>
      <c r="D70" t="s">
        <v>2449</v>
      </c>
      <c r="E70" t="s">
        <v>2008</v>
      </c>
      <c r="F70">
        <v>16</v>
      </c>
      <c r="G70" t="s">
        <v>2013</v>
      </c>
      <c r="H70" t="s">
        <v>2014</v>
      </c>
      <c r="I70" t="s">
        <v>2022</v>
      </c>
      <c r="J70" t="s">
        <v>2023</v>
      </c>
      <c r="K70">
        <v>28</v>
      </c>
      <c r="L70" t="s">
        <v>2030</v>
      </c>
      <c r="M70" t="s">
        <v>2036</v>
      </c>
      <c r="N70" t="str">
        <f t="shared" si="2"/>
        <v>Fail</v>
      </c>
      <c r="O70" t="str">
        <f t="shared" si="3"/>
        <v>UnderAge</v>
      </c>
      <c r="P70" t="str" cm="1">
        <f t="array" ref="P70">_xlfn.IFS(K70&gt;90,"Excellent",K70&gt;80,"Very Good",K70&gt;70,"Good",K70&gt;=50,"Poor",K70&lt;50,"Fail")</f>
        <v>Fail</v>
      </c>
    </row>
    <row r="71" spans="1:16" x14ac:dyDescent="0.25">
      <c r="A71" t="s">
        <v>80</v>
      </c>
      <c r="B71" t="s">
        <v>1080</v>
      </c>
      <c r="C71" t="s">
        <v>2124</v>
      </c>
      <c r="D71" t="s">
        <v>2450</v>
      </c>
      <c r="E71" t="s">
        <v>2007</v>
      </c>
      <c r="F71">
        <v>17</v>
      </c>
      <c r="G71" t="s">
        <v>2010</v>
      </c>
      <c r="H71" t="s">
        <v>2014</v>
      </c>
      <c r="I71" t="s">
        <v>2019</v>
      </c>
      <c r="J71" t="s">
        <v>2024</v>
      </c>
      <c r="K71">
        <v>73</v>
      </c>
      <c r="L71" t="s">
        <v>2033</v>
      </c>
      <c r="M71" t="s">
        <v>2035</v>
      </c>
      <c r="N71" t="str">
        <f t="shared" si="2"/>
        <v>Pass</v>
      </c>
      <c r="O71" t="str">
        <f t="shared" si="3"/>
        <v>UnderAge</v>
      </c>
      <c r="P71" t="str" cm="1">
        <f t="array" ref="P71">_xlfn.IFS(K71&gt;90,"Excellent",K71&gt;80,"Very Good",K71&gt;70,"Good",K71&gt;=50,"Poor",K71&lt;50,"Fail")</f>
        <v>Good</v>
      </c>
    </row>
    <row r="72" spans="1:16" x14ac:dyDescent="0.25">
      <c r="A72" t="s">
        <v>81</v>
      </c>
      <c r="B72" t="s">
        <v>1081</v>
      </c>
      <c r="C72" t="s">
        <v>2125</v>
      </c>
      <c r="D72" t="s">
        <v>2056</v>
      </c>
      <c r="E72" t="s">
        <v>2007</v>
      </c>
      <c r="F72">
        <v>17</v>
      </c>
      <c r="G72" t="s">
        <v>2011</v>
      </c>
      <c r="H72" t="s">
        <v>2015</v>
      </c>
      <c r="I72" t="s">
        <v>2022</v>
      </c>
      <c r="J72" t="s">
        <v>2024</v>
      </c>
      <c r="K72">
        <v>86</v>
      </c>
      <c r="L72" t="s">
        <v>2025</v>
      </c>
      <c r="M72" t="s">
        <v>2035</v>
      </c>
      <c r="N72" t="str">
        <f t="shared" si="2"/>
        <v>Pass</v>
      </c>
      <c r="O72" t="str">
        <f t="shared" si="3"/>
        <v>UnderAge</v>
      </c>
      <c r="P72" t="str" cm="1">
        <f t="array" ref="P72">_xlfn.IFS(K72&gt;90,"Excellent",K72&gt;80,"Very Good",K72&gt;70,"Good",K72&gt;=50,"Poor",K72&lt;50,"Fail")</f>
        <v>Very Good</v>
      </c>
    </row>
    <row r="73" spans="1:16" x14ac:dyDescent="0.25">
      <c r="A73" t="s">
        <v>82</v>
      </c>
      <c r="B73" t="s">
        <v>1082</v>
      </c>
      <c r="C73" t="s">
        <v>2126</v>
      </c>
      <c r="D73" t="s">
        <v>2451</v>
      </c>
      <c r="E73" t="s">
        <v>2007</v>
      </c>
      <c r="F73">
        <v>15</v>
      </c>
      <c r="G73" t="s">
        <v>2009</v>
      </c>
      <c r="H73" t="s">
        <v>2014</v>
      </c>
      <c r="I73" t="s">
        <v>2018</v>
      </c>
      <c r="J73" t="s">
        <v>2024</v>
      </c>
      <c r="K73">
        <v>83</v>
      </c>
      <c r="L73" t="s">
        <v>2027</v>
      </c>
      <c r="M73" t="s">
        <v>2035</v>
      </c>
      <c r="N73" t="str">
        <f t="shared" si="2"/>
        <v>Pass</v>
      </c>
      <c r="O73" t="str">
        <f t="shared" si="3"/>
        <v>UnderAge</v>
      </c>
      <c r="P73" t="str" cm="1">
        <f t="array" ref="P73">_xlfn.IFS(K73&gt;90,"Excellent",K73&gt;80,"Very Good",K73&gt;70,"Good",K73&gt;=50,"Poor",K73&lt;50,"Fail")</f>
        <v>Very Good</v>
      </c>
    </row>
    <row r="74" spans="1:16" x14ac:dyDescent="0.25">
      <c r="A74" t="s">
        <v>83</v>
      </c>
      <c r="B74" t="s">
        <v>1083</v>
      </c>
      <c r="C74" t="s">
        <v>2127</v>
      </c>
      <c r="D74" t="s">
        <v>2452</v>
      </c>
      <c r="E74" t="s">
        <v>2008</v>
      </c>
      <c r="F74">
        <v>15</v>
      </c>
      <c r="G74" t="s">
        <v>2009</v>
      </c>
      <c r="H74" t="s">
        <v>2015</v>
      </c>
      <c r="I74" t="s">
        <v>2021</v>
      </c>
      <c r="J74" t="s">
        <v>2024</v>
      </c>
      <c r="K74">
        <v>9</v>
      </c>
      <c r="L74" t="s">
        <v>2027</v>
      </c>
      <c r="M74" t="s">
        <v>2036</v>
      </c>
      <c r="N74" t="str">
        <f t="shared" si="2"/>
        <v>Fail</v>
      </c>
      <c r="O74" t="str">
        <f t="shared" si="3"/>
        <v>UnderAge</v>
      </c>
      <c r="P74" t="str" cm="1">
        <f t="array" ref="P74">_xlfn.IFS(K74&gt;90,"Excellent",K74&gt;80,"Very Good",K74&gt;70,"Good",K74&gt;=50,"Poor",K74&lt;50,"Fail")</f>
        <v>Fail</v>
      </c>
    </row>
    <row r="75" spans="1:16" x14ac:dyDescent="0.25">
      <c r="A75" t="s">
        <v>84</v>
      </c>
      <c r="B75" t="s">
        <v>1084</v>
      </c>
      <c r="C75" t="s">
        <v>2128</v>
      </c>
      <c r="D75" t="s">
        <v>2056</v>
      </c>
      <c r="E75" t="s">
        <v>2007</v>
      </c>
      <c r="F75">
        <v>18</v>
      </c>
      <c r="G75" t="s">
        <v>2011</v>
      </c>
      <c r="H75" t="s">
        <v>2017</v>
      </c>
      <c r="I75" t="s">
        <v>2020</v>
      </c>
      <c r="J75" t="s">
        <v>2023</v>
      </c>
      <c r="K75">
        <v>49</v>
      </c>
      <c r="L75" t="s">
        <v>2027</v>
      </c>
      <c r="M75" t="s">
        <v>2036</v>
      </c>
      <c r="N75" t="str">
        <f t="shared" si="2"/>
        <v>Fail</v>
      </c>
      <c r="O75" t="str">
        <f t="shared" si="3"/>
        <v>Adult</v>
      </c>
      <c r="P75" t="str" cm="1">
        <f t="array" ref="P75">_xlfn.IFS(K75&gt;90,"Excellent",K75&gt;80,"Very Good",K75&gt;70,"Good",K75&gt;=50,"Poor",K75&lt;50,"Fail")</f>
        <v>Fail</v>
      </c>
    </row>
    <row r="76" spans="1:16" x14ac:dyDescent="0.25">
      <c r="A76" t="s">
        <v>85</v>
      </c>
      <c r="B76" t="s">
        <v>1085</v>
      </c>
      <c r="C76" t="s">
        <v>2095</v>
      </c>
      <c r="D76" t="s">
        <v>2449</v>
      </c>
      <c r="E76" t="s">
        <v>2007</v>
      </c>
      <c r="F76">
        <v>18</v>
      </c>
      <c r="G76" t="s">
        <v>2012</v>
      </c>
      <c r="H76" t="s">
        <v>2016</v>
      </c>
      <c r="I76" t="s">
        <v>2019</v>
      </c>
      <c r="J76" t="s">
        <v>2023</v>
      </c>
      <c r="K76">
        <v>80</v>
      </c>
      <c r="L76" t="s">
        <v>2030</v>
      </c>
      <c r="M76" t="s">
        <v>2035</v>
      </c>
      <c r="N76" t="str">
        <f t="shared" si="2"/>
        <v>Pass</v>
      </c>
      <c r="O76" t="str">
        <f t="shared" si="3"/>
        <v>Adult</v>
      </c>
      <c r="P76" t="str" cm="1">
        <f t="array" ref="P76">_xlfn.IFS(K76&gt;90,"Excellent",K76&gt;80,"Very Good",K76&gt;70,"Good",K76&gt;=50,"Poor",K76&lt;50,"Fail")</f>
        <v>Good</v>
      </c>
    </row>
    <row r="77" spans="1:16" x14ac:dyDescent="0.25">
      <c r="A77" t="s">
        <v>86</v>
      </c>
      <c r="B77" t="s">
        <v>1086</v>
      </c>
      <c r="C77" t="s">
        <v>2129</v>
      </c>
      <c r="D77" t="s">
        <v>2453</v>
      </c>
      <c r="E77" t="s">
        <v>2007</v>
      </c>
      <c r="F77">
        <v>16</v>
      </c>
      <c r="G77" t="s">
        <v>2013</v>
      </c>
      <c r="H77" t="s">
        <v>2015</v>
      </c>
      <c r="I77" t="s">
        <v>2019</v>
      </c>
      <c r="J77" t="s">
        <v>2023</v>
      </c>
      <c r="K77">
        <v>72</v>
      </c>
      <c r="L77" t="s">
        <v>2025</v>
      </c>
      <c r="M77" t="s">
        <v>2035</v>
      </c>
      <c r="N77" t="str">
        <f t="shared" si="2"/>
        <v>Pass</v>
      </c>
      <c r="O77" t="str">
        <f t="shared" si="3"/>
        <v>UnderAge</v>
      </c>
      <c r="P77" t="str" cm="1">
        <f t="array" ref="P77">_xlfn.IFS(K77&gt;90,"Excellent",K77&gt;80,"Very Good",K77&gt;70,"Good",K77&gt;=50,"Poor",K77&lt;50,"Fail")</f>
        <v>Good</v>
      </c>
    </row>
    <row r="78" spans="1:16" x14ac:dyDescent="0.25">
      <c r="A78" t="s">
        <v>87</v>
      </c>
      <c r="B78" t="s">
        <v>1087</v>
      </c>
      <c r="C78" t="s">
        <v>2130</v>
      </c>
      <c r="D78" t="s">
        <v>2454</v>
      </c>
      <c r="E78" t="s">
        <v>2007</v>
      </c>
      <c r="F78">
        <v>14</v>
      </c>
      <c r="G78" t="s">
        <v>2011</v>
      </c>
      <c r="H78" t="s">
        <v>2016</v>
      </c>
      <c r="I78" t="s">
        <v>2019</v>
      </c>
      <c r="J78" t="s">
        <v>2024</v>
      </c>
      <c r="K78">
        <v>68</v>
      </c>
      <c r="L78" t="s">
        <v>2029</v>
      </c>
      <c r="M78" t="s">
        <v>2035</v>
      </c>
      <c r="N78" t="str">
        <f t="shared" si="2"/>
        <v>Pass</v>
      </c>
      <c r="O78" t="str">
        <f t="shared" si="3"/>
        <v>UnderAge</v>
      </c>
      <c r="P78" t="str" cm="1">
        <f t="array" ref="P78">_xlfn.IFS(K78&gt;90,"Excellent",K78&gt;80,"Very Good",K78&gt;70,"Good",K78&gt;=50,"Poor",K78&lt;50,"Fail")</f>
        <v>Poor</v>
      </c>
    </row>
    <row r="79" spans="1:16" x14ac:dyDescent="0.25">
      <c r="A79" t="s">
        <v>88</v>
      </c>
      <c r="B79" t="s">
        <v>1088</v>
      </c>
      <c r="C79" t="s">
        <v>2131</v>
      </c>
      <c r="D79" t="s">
        <v>2455</v>
      </c>
      <c r="E79" t="s">
        <v>2007</v>
      </c>
      <c r="F79">
        <v>15</v>
      </c>
      <c r="G79" t="s">
        <v>2010</v>
      </c>
      <c r="H79" t="s">
        <v>2014</v>
      </c>
      <c r="I79" t="s">
        <v>2020</v>
      </c>
      <c r="J79" t="s">
        <v>2024</v>
      </c>
      <c r="K79">
        <v>51</v>
      </c>
      <c r="L79" t="s">
        <v>2031</v>
      </c>
      <c r="M79" t="s">
        <v>2035</v>
      </c>
      <c r="N79" t="str">
        <f t="shared" si="2"/>
        <v>Pass</v>
      </c>
      <c r="O79" t="str">
        <f t="shared" si="3"/>
        <v>UnderAge</v>
      </c>
      <c r="P79" t="str" cm="1">
        <f t="array" ref="P79">_xlfn.IFS(K79&gt;90,"Excellent",K79&gt;80,"Very Good",K79&gt;70,"Good",K79&gt;=50,"Poor",K79&lt;50,"Fail")</f>
        <v>Poor</v>
      </c>
    </row>
    <row r="80" spans="1:16" x14ac:dyDescent="0.25">
      <c r="A80" t="s">
        <v>89</v>
      </c>
      <c r="B80" t="s">
        <v>1089</v>
      </c>
      <c r="C80" t="s">
        <v>2132</v>
      </c>
      <c r="D80" t="s">
        <v>2456</v>
      </c>
      <c r="E80" t="s">
        <v>2007</v>
      </c>
      <c r="F80">
        <v>14</v>
      </c>
      <c r="G80" t="s">
        <v>2009</v>
      </c>
      <c r="H80" t="s">
        <v>2015</v>
      </c>
      <c r="I80" t="s">
        <v>2022</v>
      </c>
      <c r="J80" t="s">
        <v>2023</v>
      </c>
      <c r="K80">
        <v>66</v>
      </c>
      <c r="L80" t="s">
        <v>2034</v>
      </c>
      <c r="M80" t="s">
        <v>2035</v>
      </c>
      <c r="N80" t="str">
        <f t="shared" si="2"/>
        <v>Pass</v>
      </c>
      <c r="O80" t="str">
        <f t="shared" si="3"/>
        <v>UnderAge</v>
      </c>
      <c r="P80" t="str" cm="1">
        <f t="array" ref="P80">_xlfn.IFS(K80&gt;90,"Excellent",K80&gt;80,"Very Good",K80&gt;70,"Good",K80&gt;=50,"Poor",K80&lt;50,"Fail")</f>
        <v>Poor</v>
      </c>
    </row>
    <row r="81" spans="1:16" x14ac:dyDescent="0.25">
      <c r="A81" t="s">
        <v>90</v>
      </c>
      <c r="B81" t="s">
        <v>1090</v>
      </c>
      <c r="C81" t="s">
        <v>2088</v>
      </c>
      <c r="D81" t="s">
        <v>2457</v>
      </c>
      <c r="E81" t="s">
        <v>2007</v>
      </c>
      <c r="F81">
        <v>15</v>
      </c>
      <c r="G81" t="s">
        <v>2013</v>
      </c>
      <c r="H81" t="s">
        <v>2015</v>
      </c>
      <c r="I81" t="s">
        <v>2021</v>
      </c>
      <c r="J81" t="s">
        <v>2023</v>
      </c>
      <c r="K81">
        <v>96</v>
      </c>
      <c r="L81" t="s">
        <v>2029</v>
      </c>
      <c r="M81" t="s">
        <v>2035</v>
      </c>
      <c r="N81" t="str">
        <f t="shared" si="2"/>
        <v>Pass</v>
      </c>
      <c r="O81" t="str">
        <f t="shared" si="3"/>
        <v>UnderAge</v>
      </c>
      <c r="P81" t="str" cm="1">
        <f t="array" ref="P81">_xlfn.IFS(K81&gt;90,"Excellent",K81&gt;80,"Very Good",K81&gt;70,"Good",K81&gt;=50,"Poor",K81&lt;50,"Fail")</f>
        <v>Excellent</v>
      </c>
    </row>
    <row r="82" spans="1:16" x14ac:dyDescent="0.25">
      <c r="A82" t="s">
        <v>91</v>
      </c>
      <c r="B82" t="s">
        <v>1091</v>
      </c>
      <c r="C82" t="s">
        <v>2133</v>
      </c>
      <c r="D82" t="s">
        <v>2458</v>
      </c>
      <c r="E82" t="s">
        <v>2007</v>
      </c>
      <c r="F82">
        <v>17</v>
      </c>
      <c r="G82" t="s">
        <v>2010</v>
      </c>
      <c r="H82" t="s">
        <v>2015</v>
      </c>
      <c r="I82" t="s">
        <v>2022</v>
      </c>
      <c r="J82" t="s">
        <v>2024</v>
      </c>
      <c r="K82">
        <v>46</v>
      </c>
      <c r="L82" t="s">
        <v>2029</v>
      </c>
      <c r="M82" t="s">
        <v>2036</v>
      </c>
      <c r="N82" t="str">
        <f t="shared" si="2"/>
        <v>Fail</v>
      </c>
      <c r="O82" t="str">
        <f t="shared" si="3"/>
        <v>UnderAge</v>
      </c>
      <c r="P82" t="str" cm="1">
        <f t="array" ref="P82">_xlfn.IFS(K82&gt;90,"Excellent",K82&gt;80,"Very Good",K82&gt;70,"Good",K82&gt;=50,"Poor",K82&lt;50,"Fail")</f>
        <v>Fail</v>
      </c>
    </row>
    <row r="83" spans="1:16" x14ac:dyDescent="0.25">
      <c r="A83" t="s">
        <v>92</v>
      </c>
      <c r="B83" t="s">
        <v>1092</v>
      </c>
      <c r="C83" t="s">
        <v>2134</v>
      </c>
      <c r="D83" t="s">
        <v>2058</v>
      </c>
      <c r="E83" t="s">
        <v>2007</v>
      </c>
      <c r="F83">
        <v>16</v>
      </c>
      <c r="G83" t="s">
        <v>2009</v>
      </c>
      <c r="H83" t="s">
        <v>2016</v>
      </c>
      <c r="I83" t="s">
        <v>2021</v>
      </c>
      <c r="J83" t="s">
        <v>2023</v>
      </c>
      <c r="K83">
        <v>95</v>
      </c>
      <c r="L83" t="s">
        <v>2029</v>
      </c>
      <c r="M83" t="s">
        <v>2035</v>
      </c>
      <c r="N83" t="str">
        <f t="shared" si="2"/>
        <v>Pass</v>
      </c>
      <c r="O83" t="str">
        <f t="shared" si="3"/>
        <v>UnderAge</v>
      </c>
      <c r="P83" t="str" cm="1">
        <f t="array" ref="P83">_xlfn.IFS(K83&gt;90,"Excellent",K83&gt;80,"Very Good",K83&gt;70,"Good",K83&gt;=50,"Poor",K83&lt;50,"Fail")</f>
        <v>Excellent</v>
      </c>
    </row>
    <row r="84" spans="1:16" x14ac:dyDescent="0.25">
      <c r="A84" t="s">
        <v>93</v>
      </c>
      <c r="B84" t="s">
        <v>1093</v>
      </c>
      <c r="C84" t="s">
        <v>2135</v>
      </c>
      <c r="D84" t="s">
        <v>2459</v>
      </c>
      <c r="E84" t="s">
        <v>2008</v>
      </c>
      <c r="F84">
        <v>15</v>
      </c>
      <c r="G84" t="s">
        <v>2013</v>
      </c>
      <c r="H84" t="s">
        <v>2014</v>
      </c>
      <c r="I84" t="s">
        <v>2018</v>
      </c>
      <c r="J84" t="s">
        <v>2023</v>
      </c>
      <c r="K84">
        <v>4</v>
      </c>
      <c r="L84" t="s">
        <v>2027</v>
      </c>
      <c r="M84" t="s">
        <v>2036</v>
      </c>
      <c r="N84" t="str">
        <f t="shared" si="2"/>
        <v>Fail</v>
      </c>
      <c r="O84" t="str">
        <f t="shared" si="3"/>
        <v>UnderAge</v>
      </c>
      <c r="P84" t="str" cm="1">
        <f t="array" ref="P84">_xlfn.IFS(K84&gt;90,"Excellent",K84&gt;80,"Very Good",K84&gt;70,"Good",K84&gt;=50,"Poor",K84&lt;50,"Fail")</f>
        <v>Fail</v>
      </c>
    </row>
    <row r="85" spans="1:16" x14ac:dyDescent="0.25">
      <c r="A85" t="s">
        <v>94</v>
      </c>
      <c r="B85" t="s">
        <v>1094</v>
      </c>
      <c r="C85" t="s">
        <v>2136</v>
      </c>
      <c r="D85" t="s">
        <v>2460</v>
      </c>
      <c r="E85" t="s">
        <v>2007</v>
      </c>
      <c r="F85">
        <v>18</v>
      </c>
      <c r="G85" t="s">
        <v>2009</v>
      </c>
      <c r="H85" t="s">
        <v>2014</v>
      </c>
      <c r="I85" t="s">
        <v>2019</v>
      </c>
      <c r="J85" t="s">
        <v>2024</v>
      </c>
      <c r="K85">
        <v>10</v>
      </c>
      <c r="L85" t="s">
        <v>2030</v>
      </c>
      <c r="M85" t="s">
        <v>2036</v>
      </c>
      <c r="N85" t="str">
        <f t="shared" si="2"/>
        <v>Fail</v>
      </c>
      <c r="O85" t="str">
        <f t="shared" si="3"/>
        <v>Adult</v>
      </c>
      <c r="P85" t="str" cm="1">
        <f t="array" ref="P85">_xlfn.IFS(K85&gt;90,"Excellent",K85&gt;80,"Very Good",K85&gt;70,"Good",K85&gt;=50,"Poor",K85&lt;50,"Fail")</f>
        <v>Fail</v>
      </c>
    </row>
    <row r="86" spans="1:16" x14ac:dyDescent="0.25">
      <c r="A86" t="s">
        <v>95</v>
      </c>
      <c r="B86" t="s">
        <v>1095</v>
      </c>
      <c r="C86" t="s">
        <v>2137</v>
      </c>
      <c r="D86" t="s">
        <v>2461</v>
      </c>
      <c r="E86" t="s">
        <v>2008</v>
      </c>
      <c r="F86">
        <v>17</v>
      </c>
      <c r="G86" t="s">
        <v>2013</v>
      </c>
      <c r="H86" t="s">
        <v>2015</v>
      </c>
      <c r="I86" t="s">
        <v>2021</v>
      </c>
      <c r="J86" t="s">
        <v>2024</v>
      </c>
      <c r="K86">
        <v>35</v>
      </c>
      <c r="L86" t="s">
        <v>2032</v>
      </c>
      <c r="M86" t="s">
        <v>2036</v>
      </c>
      <c r="N86" t="str">
        <f t="shared" si="2"/>
        <v>Fail</v>
      </c>
      <c r="O86" t="str">
        <f t="shared" si="3"/>
        <v>UnderAge</v>
      </c>
      <c r="P86" t="str" cm="1">
        <f t="array" ref="P86">_xlfn.IFS(K86&gt;90,"Excellent",K86&gt;80,"Very Good",K86&gt;70,"Good",K86&gt;=50,"Poor",K86&lt;50,"Fail")</f>
        <v>Fail</v>
      </c>
    </row>
    <row r="87" spans="1:16" x14ac:dyDescent="0.25">
      <c r="A87" t="s">
        <v>96</v>
      </c>
      <c r="B87" t="s">
        <v>1096</v>
      </c>
      <c r="C87" t="s">
        <v>2138</v>
      </c>
      <c r="D87" t="s">
        <v>2462</v>
      </c>
      <c r="E87" t="s">
        <v>2008</v>
      </c>
      <c r="F87">
        <v>15</v>
      </c>
      <c r="G87" t="s">
        <v>2011</v>
      </c>
      <c r="H87" t="s">
        <v>2016</v>
      </c>
      <c r="I87" t="s">
        <v>2022</v>
      </c>
      <c r="J87" t="s">
        <v>2024</v>
      </c>
      <c r="K87">
        <v>76</v>
      </c>
      <c r="L87" t="s">
        <v>2025</v>
      </c>
      <c r="M87" t="s">
        <v>2035</v>
      </c>
      <c r="N87" t="str">
        <f t="shared" si="2"/>
        <v>Pass</v>
      </c>
      <c r="O87" t="str">
        <f t="shared" si="3"/>
        <v>UnderAge</v>
      </c>
      <c r="P87" t="str" cm="1">
        <f t="array" ref="P87">_xlfn.IFS(K87&gt;90,"Excellent",K87&gt;80,"Very Good",K87&gt;70,"Good",K87&gt;=50,"Poor",K87&lt;50,"Fail")</f>
        <v>Good</v>
      </c>
    </row>
    <row r="88" spans="1:16" x14ac:dyDescent="0.25">
      <c r="A88" t="s">
        <v>97</v>
      </c>
      <c r="B88" t="s">
        <v>1097</v>
      </c>
      <c r="C88" t="s">
        <v>2139</v>
      </c>
      <c r="D88" t="s">
        <v>2463</v>
      </c>
      <c r="E88" t="s">
        <v>2008</v>
      </c>
      <c r="F88">
        <v>18</v>
      </c>
      <c r="G88" t="s">
        <v>2012</v>
      </c>
      <c r="H88" t="s">
        <v>2017</v>
      </c>
      <c r="I88" t="s">
        <v>2018</v>
      </c>
      <c r="J88" t="s">
        <v>2024</v>
      </c>
      <c r="K88">
        <v>84</v>
      </c>
      <c r="L88" t="s">
        <v>2027</v>
      </c>
      <c r="M88" t="s">
        <v>2035</v>
      </c>
      <c r="N88" t="str">
        <f t="shared" si="2"/>
        <v>Pass</v>
      </c>
      <c r="O88" t="str">
        <f t="shared" si="3"/>
        <v>Adult</v>
      </c>
      <c r="P88" t="str" cm="1">
        <f t="array" ref="P88">_xlfn.IFS(K88&gt;90,"Excellent",K88&gt;80,"Very Good",K88&gt;70,"Good",K88&gt;=50,"Poor",K88&lt;50,"Fail")</f>
        <v>Very Good</v>
      </c>
    </row>
    <row r="89" spans="1:16" x14ac:dyDescent="0.25">
      <c r="A89" t="s">
        <v>98</v>
      </c>
      <c r="B89" t="s">
        <v>1098</v>
      </c>
      <c r="C89" t="s">
        <v>2140</v>
      </c>
      <c r="D89" t="s">
        <v>2236</v>
      </c>
      <c r="E89" t="s">
        <v>2007</v>
      </c>
      <c r="F89">
        <v>16</v>
      </c>
      <c r="G89" t="s">
        <v>2009</v>
      </c>
      <c r="H89" t="s">
        <v>2017</v>
      </c>
      <c r="I89" t="s">
        <v>2022</v>
      </c>
      <c r="J89" t="s">
        <v>2024</v>
      </c>
      <c r="K89">
        <v>36</v>
      </c>
      <c r="L89" t="s">
        <v>2026</v>
      </c>
      <c r="M89" t="s">
        <v>2036</v>
      </c>
      <c r="N89" t="str">
        <f t="shared" si="2"/>
        <v>Fail</v>
      </c>
      <c r="O89" t="str">
        <f t="shared" si="3"/>
        <v>UnderAge</v>
      </c>
      <c r="P89" t="str" cm="1">
        <f t="array" ref="P89">_xlfn.IFS(K89&gt;90,"Excellent",K89&gt;80,"Very Good",K89&gt;70,"Good",K89&gt;=50,"Poor",K89&lt;50,"Fail")</f>
        <v>Fail</v>
      </c>
    </row>
    <row r="90" spans="1:16" x14ac:dyDescent="0.25">
      <c r="A90" t="s">
        <v>99</v>
      </c>
      <c r="B90" t="s">
        <v>1099</v>
      </c>
      <c r="C90" t="s">
        <v>2141</v>
      </c>
      <c r="D90" t="s">
        <v>2127</v>
      </c>
      <c r="E90" t="s">
        <v>2007</v>
      </c>
      <c r="F90">
        <v>18</v>
      </c>
      <c r="G90" t="s">
        <v>2012</v>
      </c>
      <c r="H90" t="s">
        <v>2014</v>
      </c>
      <c r="I90" t="s">
        <v>2022</v>
      </c>
      <c r="J90" t="s">
        <v>2023</v>
      </c>
      <c r="K90">
        <v>65</v>
      </c>
      <c r="L90" t="s">
        <v>2026</v>
      </c>
      <c r="M90" t="s">
        <v>2035</v>
      </c>
      <c r="N90" t="str">
        <f t="shared" si="2"/>
        <v>Pass</v>
      </c>
      <c r="O90" t="str">
        <f t="shared" si="3"/>
        <v>Adult</v>
      </c>
      <c r="P90" t="str" cm="1">
        <f t="array" ref="P90">_xlfn.IFS(K90&gt;90,"Excellent",K90&gt;80,"Very Good",K90&gt;70,"Good",K90&gt;=50,"Poor",K90&lt;50,"Fail")</f>
        <v>Poor</v>
      </c>
    </row>
    <row r="91" spans="1:16" x14ac:dyDescent="0.25">
      <c r="A91" t="s">
        <v>100</v>
      </c>
      <c r="B91" t="s">
        <v>1100</v>
      </c>
      <c r="C91" t="s">
        <v>2142</v>
      </c>
      <c r="D91" t="s">
        <v>2464</v>
      </c>
      <c r="E91" t="s">
        <v>2007</v>
      </c>
      <c r="F91">
        <v>16</v>
      </c>
      <c r="G91" t="s">
        <v>2013</v>
      </c>
      <c r="H91" t="s">
        <v>2017</v>
      </c>
      <c r="I91" t="s">
        <v>2021</v>
      </c>
      <c r="J91" t="s">
        <v>2023</v>
      </c>
      <c r="K91">
        <v>43</v>
      </c>
      <c r="L91" t="s">
        <v>2027</v>
      </c>
      <c r="M91" t="s">
        <v>2036</v>
      </c>
      <c r="N91" t="str">
        <f t="shared" si="2"/>
        <v>Fail</v>
      </c>
      <c r="O91" t="str">
        <f t="shared" si="3"/>
        <v>UnderAge</v>
      </c>
      <c r="P91" t="str" cm="1">
        <f t="array" ref="P91">_xlfn.IFS(K91&gt;90,"Excellent",K91&gt;80,"Very Good",K91&gt;70,"Good",K91&gt;=50,"Poor",K91&lt;50,"Fail")</f>
        <v>Fail</v>
      </c>
    </row>
    <row r="92" spans="1:16" x14ac:dyDescent="0.25">
      <c r="A92" t="s">
        <v>101</v>
      </c>
      <c r="B92" t="s">
        <v>1101</v>
      </c>
      <c r="C92" t="s">
        <v>2143</v>
      </c>
      <c r="D92" t="s">
        <v>2465</v>
      </c>
      <c r="E92" t="s">
        <v>2007</v>
      </c>
      <c r="F92">
        <v>16</v>
      </c>
      <c r="G92" t="s">
        <v>2012</v>
      </c>
      <c r="H92" t="s">
        <v>2014</v>
      </c>
      <c r="I92" t="s">
        <v>2020</v>
      </c>
      <c r="J92" t="s">
        <v>2023</v>
      </c>
      <c r="K92">
        <v>79</v>
      </c>
      <c r="L92" t="s">
        <v>2025</v>
      </c>
      <c r="M92" t="s">
        <v>2035</v>
      </c>
      <c r="N92" t="str">
        <f t="shared" si="2"/>
        <v>Pass</v>
      </c>
      <c r="O92" t="str">
        <f t="shared" si="3"/>
        <v>UnderAge</v>
      </c>
      <c r="P92" t="str" cm="1">
        <f t="array" ref="P92">_xlfn.IFS(K92&gt;90,"Excellent",K92&gt;80,"Very Good",K92&gt;70,"Good",K92&gt;=50,"Poor",K92&lt;50,"Fail")</f>
        <v>Good</v>
      </c>
    </row>
    <row r="93" spans="1:16" x14ac:dyDescent="0.25">
      <c r="A93" t="s">
        <v>102</v>
      </c>
      <c r="B93" t="s">
        <v>1102</v>
      </c>
      <c r="C93" t="s">
        <v>2144</v>
      </c>
      <c r="D93" t="s">
        <v>2466</v>
      </c>
      <c r="E93" t="s">
        <v>2008</v>
      </c>
      <c r="F93">
        <v>15</v>
      </c>
      <c r="G93" t="s">
        <v>2010</v>
      </c>
      <c r="H93" t="s">
        <v>2016</v>
      </c>
      <c r="I93" t="s">
        <v>2022</v>
      </c>
      <c r="J93" t="s">
        <v>2023</v>
      </c>
      <c r="K93">
        <v>6</v>
      </c>
      <c r="L93" t="s">
        <v>2033</v>
      </c>
      <c r="M93" t="s">
        <v>2036</v>
      </c>
      <c r="N93" t="str">
        <f t="shared" si="2"/>
        <v>Fail</v>
      </c>
      <c r="O93" t="str">
        <f t="shared" si="3"/>
        <v>UnderAge</v>
      </c>
      <c r="P93" t="str" cm="1">
        <f t="array" ref="P93">_xlfn.IFS(K93&gt;90,"Excellent",K93&gt;80,"Very Good",K93&gt;70,"Good",K93&gt;=50,"Poor",K93&lt;50,"Fail")</f>
        <v>Fail</v>
      </c>
    </row>
    <row r="94" spans="1:16" x14ac:dyDescent="0.25">
      <c r="A94" t="s">
        <v>103</v>
      </c>
      <c r="B94" t="s">
        <v>1103</v>
      </c>
      <c r="C94" t="s">
        <v>2145</v>
      </c>
      <c r="D94" t="s">
        <v>2467</v>
      </c>
      <c r="E94" t="s">
        <v>2008</v>
      </c>
      <c r="F94">
        <v>17</v>
      </c>
      <c r="G94" t="s">
        <v>2009</v>
      </c>
      <c r="H94" t="s">
        <v>2016</v>
      </c>
      <c r="I94" t="s">
        <v>2022</v>
      </c>
      <c r="J94" t="s">
        <v>2024</v>
      </c>
      <c r="K94">
        <v>89</v>
      </c>
      <c r="L94" t="s">
        <v>2032</v>
      </c>
      <c r="M94" t="s">
        <v>2035</v>
      </c>
      <c r="N94" t="str">
        <f t="shared" si="2"/>
        <v>Pass</v>
      </c>
      <c r="O94" t="str">
        <f t="shared" si="3"/>
        <v>UnderAge</v>
      </c>
      <c r="P94" t="str" cm="1">
        <f t="array" ref="P94">_xlfn.IFS(K94&gt;90,"Excellent",K94&gt;80,"Very Good",K94&gt;70,"Good",K94&gt;=50,"Poor",K94&lt;50,"Fail")</f>
        <v>Very Good</v>
      </c>
    </row>
    <row r="95" spans="1:16" x14ac:dyDescent="0.25">
      <c r="A95" t="s">
        <v>104</v>
      </c>
      <c r="B95" t="s">
        <v>1104</v>
      </c>
      <c r="C95" t="s">
        <v>2065</v>
      </c>
      <c r="D95" t="s">
        <v>2251</v>
      </c>
      <c r="E95" t="s">
        <v>2007</v>
      </c>
      <c r="F95">
        <v>17</v>
      </c>
      <c r="G95" t="s">
        <v>2009</v>
      </c>
      <c r="H95" t="s">
        <v>2015</v>
      </c>
      <c r="I95" t="s">
        <v>2020</v>
      </c>
      <c r="J95" t="s">
        <v>2024</v>
      </c>
      <c r="K95">
        <v>47</v>
      </c>
      <c r="L95" t="s">
        <v>2030</v>
      </c>
      <c r="M95" t="s">
        <v>2036</v>
      </c>
      <c r="N95" t="str">
        <f t="shared" si="2"/>
        <v>Fail</v>
      </c>
      <c r="O95" t="str">
        <f t="shared" si="3"/>
        <v>UnderAge</v>
      </c>
      <c r="P95" t="str" cm="1">
        <f t="array" ref="P95">_xlfn.IFS(K95&gt;90,"Excellent",K95&gt;80,"Very Good",K95&gt;70,"Good",K95&gt;=50,"Poor",K95&lt;50,"Fail")</f>
        <v>Fail</v>
      </c>
    </row>
    <row r="96" spans="1:16" x14ac:dyDescent="0.25">
      <c r="A96" t="s">
        <v>105</v>
      </c>
      <c r="B96" t="s">
        <v>1105</v>
      </c>
      <c r="C96" t="s">
        <v>2097</v>
      </c>
      <c r="D96" t="s">
        <v>2468</v>
      </c>
      <c r="E96" t="s">
        <v>2007</v>
      </c>
      <c r="F96">
        <v>16</v>
      </c>
      <c r="G96" t="s">
        <v>2011</v>
      </c>
      <c r="H96" t="s">
        <v>2016</v>
      </c>
      <c r="I96" t="s">
        <v>2020</v>
      </c>
      <c r="J96" t="s">
        <v>2024</v>
      </c>
      <c r="K96">
        <v>92</v>
      </c>
      <c r="L96" t="s">
        <v>2026</v>
      </c>
      <c r="M96" t="s">
        <v>2035</v>
      </c>
      <c r="N96" t="str">
        <f t="shared" si="2"/>
        <v>Pass</v>
      </c>
      <c r="O96" t="str">
        <f t="shared" si="3"/>
        <v>UnderAge</v>
      </c>
      <c r="P96" t="str" cm="1">
        <f t="array" ref="P96">_xlfn.IFS(K96&gt;90,"Excellent",K96&gt;80,"Very Good",K96&gt;70,"Good",K96&gt;=50,"Poor",K96&lt;50,"Fail")</f>
        <v>Excellent</v>
      </c>
    </row>
    <row r="97" spans="1:16" x14ac:dyDescent="0.25">
      <c r="A97" t="s">
        <v>106</v>
      </c>
      <c r="B97" t="s">
        <v>1106</v>
      </c>
      <c r="C97" t="s">
        <v>2146</v>
      </c>
      <c r="D97" t="s">
        <v>2469</v>
      </c>
      <c r="E97" t="s">
        <v>2008</v>
      </c>
      <c r="F97">
        <v>17</v>
      </c>
      <c r="G97" t="s">
        <v>2010</v>
      </c>
      <c r="H97" t="s">
        <v>2016</v>
      </c>
      <c r="I97" t="s">
        <v>2021</v>
      </c>
      <c r="J97" t="s">
        <v>2023</v>
      </c>
      <c r="K97">
        <v>0</v>
      </c>
      <c r="L97" t="s">
        <v>2027</v>
      </c>
      <c r="M97" t="s">
        <v>2036</v>
      </c>
      <c r="N97" t="str">
        <f t="shared" si="2"/>
        <v>Fail</v>
      </c>
      <c r="O97" t="str">
        <f t="shared" si="3"/>
        <v>UnderAge</v>
      </c>
      <c r="P97" t="str" cm="1">
        <f t="array" ref="P97">_xlfn.IFS(K97&gt;90,"Excellent",K97&gt;80,"Very Good",K97&gt;70,"Good",K97&gt;=50,"Poor",K97&lt;50,"Fail")</f>
        <v>Fail</v>
      </c>
    </row>
    <row r="98" spans="1:16" x14ac:dyDescent="0.25">
      <c r="A98" t="s">
        <v>107</v>
      </c>
      <c r="B98" t="s">
        <v>1107</v>
      </c>
      <c r="C98" t="s">
        <v>2067</v>
      </c>
      <c r="D98" t="s">
        <v>2470</v>
      </c>
      <c r="E98" t="s">
        <v>2007</v>
      </c>
      <c r="F98">
        <v>15</v>
      </c>
      <c r="G98" t="s">
        <v>2012</v>
      </c>
      <c r="H98" t="s">
        <v>2014</v>
      </c>
      <c r="I98" t="s">
        <v>2020</v>
      </c>
      <c r="J98" t="s">
        <v>2024</v>
      </c>
      <c r="K98">
        <v>75</v>
      </c>
      <c r="L98" t="s">
        <v>2029</v>
      </c>
      <c r="M98" t="s">
        <v>2035</v>
      </c>
      <c r="N98" t="str">
        <f t="shared" si="2"/>
        <v>Pass</v>
      </c>
      <c r="O98" t="str">
        <f t="shared" si="3"/>
        <v>UnderAge</v>
      </c>
      <c r="P98" t="str" cm="1">
        <f t="array" ref="P98">_xlfn.IFS(K98&gt;90,"Excellent",K98&gt;80,"Very Good",K98&gt;70,"Good",K98&gt;=50,"Poor",K98&lt;50,"Fail")</f>
        <v>Good</v>
      </c>
    </row>
    <row r="99" spans="1:16" x14ac:dyDescent="0.25">
      <c r="A99" t="s">
        <v>108</v>
      </c>
      <c r="B99" t="s">
        <v>1108</v>
      </c>
      <c r="C99" t="s">
        <v>2144</v>
      </c>
      <c r="D99" t="s">
        <v>2285</v>
      </c>
      <c r="E99" t="s">
        <v>2008</v>
      </c>
      <c r="F99">
        <v>16</v>
      </c>
      <c r="G99" t="s">
        <v>2013</v>
      </c>
      <c r="H99" t="s">
        <v>2015</v>
      </c>
      <c r="I99" t="s">
        <v>2021</v>
      </c>
      <c r="J99" t="s">
        <v>2024</v>
      </c>
      <c r="K99">
        <v>98</v>
      </c>
      <c r="L99" t="s">
        <v>2025</v>
      </c>
      <c r="M99" t="s">
        <v>2035</v>
      </c>
      <c r="N99" t="str">
        <f t="shared" si="2"/>
        <v>Pass</v>
      </c>
      <c r="O99" t="str">
        <f t="shared" si="3"/>
        <v>UnderAge</v>
      </c>
      <c r="P99" t="str" cm="1">
        <f t="array" ref="P99">_xlfn.IFS(K99&gt;90,"Excellent",K99&gt;80,"Very Good",K99&gt;70,"Good",K99&gt;=50,"Poor",K99&lt;50,"Fail")</f>
        <v>Excellent</v>
      </c>
    </row>
    <row r="100" spans="1:16" x14ac:dyDescent="0.25">
      <c r="A100" t="s">
        <v>109</v>
      </c>
      <c r="B100" t="s">
        <v>1109</v>
      </c>
      <c r="C100" t="s">
        <v>2091</v>
      </c>
      <c r="D100" t="s">
        <v>2471</v>
      </c>
      <c r="E100" t="s">
        <v>2008</v>
      </c>
      <c r="F100">
        <v>18</v>
      </c>
      <c r="G100" t="s">
        <v>2011</v>
      </c>
      <c r="H100" t="s">
        <v>2015</v>
      </c>
      <c r="I100" t="s">
        <v>2020</v>
      </c>
      <c r="J100" t="s">
        <v>2023</v>
      </c>
      <c r="K100">
        <v>62</v>
      </c>
      <c r="L100" t="s">
        <v>2026</v>
      </c>
      <c r="M100" t="s">
        <v>2035</v>
      </c>
      <c r="N100" t="str">
        <f t="shared" si="2"/>
        <v>Pass</v>
      </c>
      <c r="O100" t="str">
        <f t="shared" si="3"/>
        <v>Adult</v>
      </c>
      <c r="P100" t="str" cm="1">
        <f t="array" ref="P100">_xlfn.IFS(K100&gt;90,"Excellent",K100&gt;80,"Very Good",K100&gt;70,"Good",K100&gt;=50,"Poor",K100&lt;50,"Fail")</f>
        <v>Poor</v>
      </c>
    </row>
    <row r="101" spans="1:16" x14ac:dyDescent="0.25">
      <c r="A101" t="s">
        <v>110</v>
      </c>
      <c r="B101" t="s">
        <v>1110</v>
      </c>
      <c r="C101" t="s">
        <v>2147</v>
      </c>
      <c r="D101" t="s">
        <v>2472</v>
      </c>
      <c r="E101" t="s">
        <v>2007</v>
      </c>
      <c r="F101">
        <v>15</v>
      </c>
      <c r="G101" t="s">
        <v>2012</v>
      </c>
      <c r="H101" t="s">
        <v>2017</v>
      </c>
      <c r="I101" t="s">
        <v>2020</v>
      </c>
      <c r="J101" t="s">
        <v>2023</v>
      </c>
      <c r="K101">
        <v>57</v>
      </c>
      <c r="L101" t="s">
        <v>2032</v>
      </c>
      <c r="M101" t="s">
        <v>2035</v>
      </c>
      <c r="N101" t="str">
        <f t="shared" si="2"/>
        <v>Pass</v>
      </c>
      <c r="O101" t="str">
        <f t="shared" si="3"/>
        <v>UnderAge</v>
      </c>
      <c r="P101" t="str" cm="1">
        <f t="array" ref="P101">_xlfn.IFS(K101&gt;90,"Excellent",K101&gt;80,"Very Good",K101&gt;70,"Good",K101&gt;=50,"Poor",K101&lt;50,"Fail")</f>
        <v>Poor</v>
      </c>
    </row>
    <row r="102" spans="1:16" x14ac:dyDescent="0.25">
      <c r="A102" t="s">
        <v>111</v>
      </c>
      <c r="B102" t="s">
        <v>1111</v>
      </c>
      <c r="C102" t="s">
        <v>2148</v>
      </c>
      <c r="D102" t="s">
        <v>2473</v>
      </c>
      <c r="E102" t="s">
        <v>2007</v>
      </c>
      <c r="F102">
        <v>15</v>
      </c>
      <c r="G102" t="s">
        <v>2011</v>
      </c>
      <c r="H102" t="s">
        <v>2016</v>
      </c>
      <c r="I102" t="s">
        <v>2018</v>
      </c>
      <c r="J102" t="s">
        <v>2024</v>
      </c>
      <c r="K102">
        <v>91</v>
      </c>
      <c r="L102" t="s">
        <v>2029</v>
      </c>
      <c r="M102" t="s">
        <v>2035</v>
      </c>
      <c r="N102" t="str">
        <f t="shared" si="2"/>
        <v>Pass</v>
      </c>
      <c r="O102" t="str">
        <f t="shared" si="3"/>
        <v>UnderAge</v>
      </c>
      <c r="P102" t="str" cm="1">
        <f t="array" ref="P102">_xlfn.IFS(K102&gt;90,"Excellent",K102&gt;80,"Very Good",K102&gt;70,"Good",K102&gt;=50,"Poor",K102&lt;50,"Fail")</f>
        <v>Excellent</v>
      </c>
    </row>
    <row r="103" spans="1:16" x14ac:dyDescent="0.25">
      <c r="A103" t="s">
        <v>112</v>
      </c>
      <c r="B103" t="s">
        <v>1112</v>
      </c>
      <c r="C103" t="s">
        <v>2149</v>
      </c>
      <c r="D103" t="s">
        <v>2418</v>
      </c>
      <c r="E103" t="s">
        <v>2007</v>
      </c>
      <c r="F103">
        <v>14</v>
      </c>
      <c r="G103" t="s">
        <v>2011</v>
      </c>
      <c r="H103" t="s">
        <v>2014</v>
      </c>
      <c r="I103" t="s">
        <v>2019</v>
      </c>
      <c r="J103" t="s">
        <v>2024</v>
      </c>
      <c r="K103">
        <v>76</v>
      </c>
      <c r="L103" t="s">
        <v>2033</v>
      </c>
      <c r="M103" t="s">
        <v>2035</v>
      </c>
      <c r="N103" t="str">
        <f t="shared" si="2"/>
        <v>Pass</v>
      </c>
      <c r="O103" t="str">
        <f t="shared" si="3"/>
        <v>UnderAge</v>
      </c>
      <c r="P103" t="str" cm="1">
        <f t="array" ref="P103">_xlfn.IFS(K103&gt;90,"Excellent",K103&gt;80,"Very Good",K103&gt;70,"Good",K103&gt;=50,"Poor",K103&lt;50,"Fail")</f>
        <v>Good</v>
      </c>
    </row>
    <row r="104" spans="1:16" x14ac:dyDescent="0.25">
      <c r="A104" t="s">
        <v>113</v>
      </c>
      <c r="B104" t="s">
        <v>1113</v>
      </c>
      <c r="C104" t="s">
        <v>2150</v>
      </c>
      <c r="D104" t="s">
        <v>2474</v>
      </c>
      <c r="E104" t="s">
        <v>2008</v>
      </c>
      <c r="F104">
        <v>14</v>
      </c>
      <c r="G104" t="s">
        <v>2009</v>
      </c>
      <c r="H104" t="s">
        <v>2016</v>
      </c>
      <c r="I104" t="s">
        <v>2020</v>
      </c>
      <c r="J104" t="s">
        <v>2024</v>
      </c>
      <c r="K104">
        <v>95</v>
      </c>
      <c r="L104" t="s">
        <v>2033</v>
      </c>
      <c r="M104" t="s">
        <v>2035</v>
      </c>
      <c r="N104" t="str">
        <f t="shared" si="2"/>
        <v>Pass</v>
      </c>
      <c r="O104" t="str">
        <f t="shared" si="3"/>
        <v>UnderAge</v>
      </c>
      <c r="P104" t="str" cm="1">
        <f t="array" ref="P104">_xlfn.IFS(K104&gt;90,"Excellent",K104&gt;80,"Very Good",K104&gt;70,"Good",K104&gt;=50,"Poor",K104&lt;50,"Fail")</f>
        <v>Excellent</v>
      </c>
    </row>
    <row r="105" spans="1:16" x14ac:dyDescent="0.25">
      <c r="A105" t="s">
        <v>114</v>
      </c>
      <c r="B105" t="s">
        <v>1114</v>
      </c>
      <c r="C105" t="s">
        <v>2139</v>
      </c>
      <c r="D105" t="s">
        <v>2426</v>
      </c>
      <c r="E105" t="s">
        <v>2007</v>
      </c>
      <c r="F105">
        <v>16</v>
      </c>
      <c r="G105" t="s">
        <v>2009</v>
      </c>
      <c r="H105" t="s">
        <v>2014</v>
      </c>
      <c r="I105" t="s">
        <v>2020</v>
      </c>
      <c r="J105" t="s">
        <v>2024</v>
      </c>
      <c r="K105">
        <v>18</v>
      </c>
      <c r="L105" t="s">
        <v>2034</v>
      </c>
      <c r="M105" t="s">
        <v>2036</v>
      </c>
      <c r="N105" t="str">
        <f t="shared" si="2"/>
        <v>Fail</v>
      </c>
      <c r="O105" t="str">
        <f t="shared" si="3"/>
        <v>UnderAge</v>
      </c>
      <c r="P105" t="str" cm="1">
        <f t="array" ref="P105">_xlfn.IFS(K105&gt;90,"Excellent",K105&gt;80,"Very Good",K105&gt;70,"Good",K105&gt;=50,"Poor",K105&lt;50,"Fail")</f>
        <v>Fail</v>
      </c>
    </row>
    <row r="106" spans="1:16" x14ac:dyDescent="0.25">
      <c r="A106" t="s">
        <v>115</v>
      </c>
      <c r="B106" t="s">
        <v>1115</v>
      </c>
      <c r="C106" t="s">
        <v>2151</v>
      </c>
      <c r="D106" t="s">
        <v>2475</v>
      </c>
      <c r="E106" t="s">
        <v>2008</v>
      </c>
      <c r="F106">
        <v>17</v>
      </c>
      <c r="G106" t="s">
        <v>2011</v>
      </c>
      <c r="H106" t="s">
        <v>2014</v>
      </c>
      <c r="I106" t="s">
        <v>2018</v>
      </c>
      <c r="J106" t="s">
        <v>2023</v>
      </c>
      <c r="K106">
        <v>67</v>
      </c>
      <c r="L106" t="s">
        <v>2032</v>
      </c>
      <c r="M106" t="s">
        <v>2035</v>
      </c>
      <c r="N106" t="str">
        <f t="shared" si="2"/>
        <v>Pass</v>
      </c>
      <c r="O106" t="str">
        <f t="shared" si="3"/>
        <v>UnderAge</v>
      </c>
      <c r="P106" t="str" cm="1">
        <f t="array" ref="P106">_xlfn.IFS(K106&gt;90,"Excellent",K106&gt;80,"Very Good",K106&gt;70,"Good",K106&gt;=50,"Poor",K106&lt;50,"Fail")</f>
        <v>Poor</v>
      </c>
    </row>
    <row r="107" spans="1:16" x14ac:dyDescent="0.25">
      <c r="A107" t="s">
        <v>116</v>
      </c>
      <c r="B107" t="s">
        <v>1116</v>
      </c>
      <c r="C107" t="s">
        <v>2152</v>
      </c>
      <c r="D107" t="s">
        <v>2476</v>
      </c>
      <c r="E107" t="s">
        <v>2008</v>
      </c>
      <c r="F107">
        <v>14</v>
      </c>
      <c r="G107" t="s">
        <v>2010</v>
      </c>
      <c r="H107" t="s">
        <v>2017</v>
      </c>
      <c r="I107" t="s">
        <v>2022</v>
      </c>
      <c r="J107" t="s">
        <v>2023</v>
      </c>
      <c r="K107">
        <v>72</v>
      </c>
      <c r="L107" t="s">
        <v>2026</v>
      </c>
      <c r="M107" t="s">
        <v>2035</v>
      </c>
      <c r="N107" t="str">
        <f t="shared" si="2"/>
        <v>Pass</v>
      </c>
      <c r="O107" t="str">
        <f t="shared" si="3"/>
        <v>UnderAge</v>
      </c>
      <c r="P107" t="str" cm="1">
        <f t="array" ref="P107">_xlfn.IFS(K107&gt;90,"Excellent",K107&gt;80,"Very Good",K107&gt;70,"Good",K107&gt;=50,"Poor",K107&lt;50,"Fail")</f>
        <v>Good</v>
      </c>
    </row>
    <row r="108" spans="1:16" x14ac:dyDescent="0.25">
      <c r="A108" t="s">
        <v>117</v>
      </c>
      <c r="B108" t="s">
        <v>1117</v>
      </c>
      <c r="C108" t="s">
        <v>2097</v>
      </c>
      <c r="D108" t="s">
        <v>2477</v>
      </c>
      <c r="E108" t="s">
        <v>2007</v>
      </c>
      <c r="F108">
        <v>16</v>
      </c>
      <c r="G108" t="s">
        <v>2010</v>
      </c>
      <c r="H108" t="s">
        <v>2016</v>
      </c>
      <c r="I108" t="s">
        <v>2022</v>
      </c>
      <c r="J108" t="s">
        <v>2023</v>
      </c>
      <c r="K108">
        <v>65</v>
      </c>
      <c r="L108" t="s">
        <v>2030</v>
      </c>
      <c r="M108" t="s">
        <v>2035</v>
      </c>
      <c r="N108" t="str">
        <f t="shared" si="2"/>
        <v>Pass</v>
      </c>
      <c r="O108" t="str">
        <f t="shared" si="3"/>
        <v>UnderAge</v>
      </c>
      <c r="P108" t="str" cm="1">
        <f t="array" ref="P108">_xlfn.IFS(K108&gt;90,"Excellent",K108&gt;80,"Very Good",K108&gt;70,"Good",K108&gt;=50,"Poor",K108&lt;50,"Fail")</f>
        <v>Poor</v>
      </c>
    </row>
    <row r="109" spans="1:16" x14ac:dyDescent="0.25">
      <c r="A109" t="s">
        <v>118</v>
      </c>
      <c r="B109" t="s">
        <v>1118</v>
      </c>
      <c r="C109" t="s">
        <v>2098</v>
      </c>
      <c r="D109" t="s">
        <v>2478</v>
      </c>
      <c r="E109" t="s">
        <v>2007</v>
      </c>
      <c r="F109">
        <v>18</v>
      </c>
      <c r="G109" t="s">
        <v>2011</v>
      </c>
      <c r="H109" t="s">
        <v>2017</v>
      </c>
      <c r="I109" t="s">
        <v>2018</v>
      </c>
      <c r="J109" t="s">
        <v>2023</v>
      </c>
      <c r="K109">
        <v>45</v>
      </c>
      <c r="L109" t="s">
        <v>2032</v>
      </c>
      <c r="M109" t="s">
        <v>2036</v>
      </c>
      <c r="N109" t="str">
        <f t="shared" si="2"/>
        <v>Fail</v>
      </c>
      <c r="O109" t="str">
        <f t="shared" si="3"/>
        <v>Adult</v>
      </c>
      <c r="P109" t="str" cm="1">
        <f t="array" ref="P109">_xlfn.IFS(K109&gt;90,"Excellent",K109&gt;80,"Very Good",K109&gt;70,"Good",K109&gt;=50,"Poor",K109&lt;50,"Fail")</f>
        <v>Fail</v>
      </c>
    </row>
    <row r="110" spans="1:16" x14ac:dyDescent="0.25">
      <c r="A110" t="s">
        <v>119</v>
      </c>
      <c r="B110" t="s">
        <v>1119</v>
      </c>
      <c r="C110" t="s">
        <v>2148</v>
      </c>
      <c r="D110" t="s">
        <v>2416</v>
      </c>
      <c r="E110" t="s">
        <v>2008</v>
      </c>
      <c r="F110">
        <v>15</v>
      </c>
      <c r="G110" t="s">
        <v>2011</v>
      </c>
      <c r="H110" t="s">
        <v>2014</v>
      </c>
      <c r="I110" t="s">
        <v>2019</v>
      </c>
      <c r="J110" t="s">
        <v>2023</v>
      </c>
      <c r="K110">
        <v>50</v>
      </c>
      <c r="L110" t="s">
        <v>2027</v>
      </c>
      <c r="M110" t="s">
        <v>2035</v>
      </c>
      <c r="N110" t="str">
        <f t="shared" si="2"/>
        <v>Pass</v>
      </c>
      <c r="O110" t="str">
        <f t="shared" si="3"/>
        <v>UnderAge</v>
      </c>
      <c r="P110" t="str" cm="1">
        <f t="array" ref="P110">_xlfn.IFS(K110&gt;90,"Excellent",K110&gt;80,"Very Good",K110&gt;70,"Good",K110&gt;=50,"Poor",K110&lt;50,"Fail")</f>
        <v>Poor</v>
      </c>
    </row>
    <row r="111" spans="1:16" x14ac:dyDescent="0.25">
      <c r="A111" t="s">
        <v>120</v>
      </c>
      <c r="B111" t="s">
        <v>1120</v>
      </c>
      <c r="C111" t="s">
        <v>2153</v>
      </c>
      <c r="D111" t="s">
        <v>2479</v>
      </c>
      <c r="E111" t="s">
        <v>2007</v>
      </c>
      <c r="F111">
        <v>18</v>
      </c>
      <c r="G111" t="s">
        <v>2009</v>
      </c>
      <c r="H111" t="s">
        <v>2017</v>
      </c>
      <c r="I111" t="s">
        <v>2018</v>
      </c>
      <c r="J111" t="s">
        <v>2024</v>
      </c>
      <c r="K111">
        <v>52</v>
      </c>
      <c r="L111" t="s">
        <v>2027</v>
      </c>
      <c r="M111" t="s">
        <v>2035</v>
      </c>
      <c r="N111" t="str">
        <f t="shared" si="2"/>
        <v>Pass</v>
      </c>
      <c r="O111" t="str">
        <f t="shared" si="3"/>
        <v>Adult</v>
      </c>
      <c r="P111" t="str" cm="1">
        <f t="array" ref="P111">_xlfn.IFS(K111&gt;90,"Excellent",K111&gt;80,"Very Good",K111&gt;70,"Good",K111&gt;=50,"Poor",K111&lt;50,"Fail")</f>
        <v>Poor</v>
      </c>
    </row>
    <row r="112" spans="1:16" x14ac:dyDescent="0.25">
      <c r="A112" t="s">
        <v>121</v>
      </c>
      <c r="B112" t="s">
        <v>1121</v>
      </c>
      <c r="C112" t="s">
        <v>2092</v>
      </c>
      <c r="D112" t="s">
        <v>2480</v>
      </c>
      <c r="E112" t="s">
        <v>2007</v>
      </c>
      <c r="F112">
        <v>16</v>
      </c>
      <c r="G112" t="s">
        <v>2013</v>
      </c>
      <c r="H112" t="s">
        <v>2016</v>
      </c>
      <c r="I112" t="s">
        <v>2018</v>
      </c>
      <c r="J112" t="s">
        <v>2024</v>
      </c>
      <c r="K112">
        <v>54</v>
      </c>
      <c r="L112" t="s">
        <v>2032</v>
      </c>
      <c r="M112" t="s">
        <v>2035</v>
      </c>
      <c r="N112" t="str">
        <f t="shared" si="2"/>
        <v>Pass</v>
      </c>
      <c r="O112" t="str">
        <f t="shared" si="3"/>
        <v>UnderAge</v>
      </c>
      <c r="P112" t="str" cm="1">
        <f t="array" ref="P112">_xlfn.IFS(K112&gt;90,"Excellent",K112&gt;80,"Very Good",K112&gt;70,"Good",K112&gt;=50,"Poor",K112&lt;50,"Fail")</f>
        <v>Poor</v>
      </c>
    </row>
    <row r="113" spans="1:16" x14ac:dyDescent="0.25">
      <c r="A113" t="s">
        <v>122</v>
      </c>
      <c r="B113" t="s">
        <v>1122</v>
      </c>
      <c r="C113" t="s">
        <v>2154</v>
      </c>
      <c r="D113" t="s">
        <v>2481</v>
      </c>
      <c r="E113" t="s">
        <v>2008</v>
      </c>
      <c r="F113">
        <v>18</v>
      </c>
      <c r="G113" t="s">
        <v>2010</v>
      </c>
      <c r="H113" t="s">
        <v>2015</v>
      </c>
      <c r="I113" t="s">
        <v>2022</v>
      </c>
      <c r="J113" t="s">
        <v>2023</v>
      </c>
      <c r="K113">
        <v>61</v>
      </c>
      <c r="L113" t="s">
        <v>2025</v>
      </c>
      <c r="M113" t="s">
        <v>2035</v>
      </c>
      <c r="N113" t="str">
        <f t="shared" si="2"/>
        <v>Pass</v>
      </c>
      <c r="O113" t="str">
        <f t="shared" si="3"/>
        <v>Adult</v>
      </c>
      <c r="P113" t="str" cm="1">
        <f t="array" ref="P113">_xlfn.IFS(K113&gt;90,"Excellent",K113&gt;80,"Very Good",K113&gt;70,"Good",K113&gt;=50,"Poor",K113&lt;50,"Fail")</f>
        <v>Poor</v>
      </c>
    </row>
    <row r="114" spans="1:16" x14ac:dyDescent="0.25">
      <c r="A114" t="s">
        <v>123</v>
      </c>
      <c r="B114" t="s">
        <v>1123</v>
      </c>
      <c r="C114" t="s">
        <v>2155</v>
      </c>
      <c r="D114" t="s">
        <v>2319</v>
      </c>
      <c r="E114" t="s">
        <v>2007</v>
      </c>
      <c r="F114">
        <v>14</v>
      </c>
      <c r="G114" t="s">
        <v>2010</v>
      </c>
      <c r="H114" t="s">
        <v>2016</v>
      </c>
      <c r="I114" t="s">
        <v>2021</v>
      </c>
      <c r="J114" t="s">
        <v>2023</v>
      </c>
      <c r="K114">
        <v>65</v>
      </c>
      <c r="L114" t="s">
        <v>2025</v>
      </c>
      <c r="M114" t="s">
        <v>2035</v>
      </c>
      <c r="N114" t="str">
        <f t="shared" si="2"/>
        <v>Pass</v>
      </c>
      <c r="O114" t="str">
        <f t="shared" si="3"/>
        <v>UnderAge</v>
      </c>
      <c r="P114" t="str" cm="1">
        <f t="array" ref="P114">_xlfn.IFS(K114&gt;90,"Excellent",K114&gt;80,"Very Good",K114&gt;70,"Good",K114&gt;=50,"Poor",K114&lt;50,"Fail")</f>
        <v>Poor</v>
      </c>
    </row>
    <row r="115" spans="1:16" x14ac:dyDescent="0.25">
      <c r="A115" t="s">
        <v>124</v>
      </c>
      <c r="B115" t="s">
        <v>1124</v>
      </c>
      <c r="C115" t="s">
        <v>2091</v>
      </c>
      <c r="D115" t="s">
        <v>2482</v>
      </c>
      <c r="E115" t="s">
        <v>2007</v>
      </c>
      <c r="F115">
        <v>14</v>
      </c>
      <c r="G115" t="s">
        <v>2012</v>
      </c>
      <c r="H115" t="s">
        <v>2015</v>
      </c>
      <c r="I115" t="s">
        <v>2022</v>
      </c>
      <c r="J115" t="s">
        <v>2023</v>
      </c>
      <c r="K115">
        <v>86</v>
      </c>
      <c r="L115" t="s">
        <v>2030</v>
      </c>
      <c r="M115" t="s">
        <v>2035</v>
      </c>
      <c r="N115" t="str">
        <f t="shared" si="2"/>
        <v>Pass</v>
      </c>
      <c r="O115" t="str">
        <f t="shared" si="3"/>
        <v>UnderAge</v>
      </c>
      <c r="P115" t="str" cm="1">
        <f t="array" ref="P115">_xlfn.IFS(K115&gt;90,"Excellent",K115&gt;80,"Very Good",K115&gt;70,"Good",K115&gt;=50,"Poor",K115&lt;50,"Fail")</f>
        <v>Very Good</v>
      </c>
    </row>
    <row r="116" spans="1:16" x14ac:dyDescent="0.25">
      <c r="A116" t="s">
        <v>125</v>
      </c>
      <c r="B116" t="s">
        <v>1125</v>
      </c>
      <c r="C116" t="s">
        <v>2156</v>
      </c>
      <c r="D116" t="s">
        <v>2483</v>
      </c>
      <c r="E116" t="s">
        <v>2008</v>
      </c>
      <c r="F116">
        <v>18</v>
      </c>
      <c r="G116" t="s">
        <v>2009</v>
      </c>
      <c r="H116" t="s">
        <v>2015</v>
      </c>
      <c r="I116" t="s">
        <v>2022</v>
      </c>
      <c r="J116" t="s">
        <v>2024</v>
      </c>
      <c r="K116">
        <v>82</v>
      </c>
      <c r="L116" t="s">
        <v>2032</v>
      </c>
      <c r="M116" t="s">
        <v>2035</v>
      </c>
      <c r="N116" t="str">
        <f t="shared" si="2"/>
        <v>Pass</v>
      </c>
      <c r="O116" t="str">
        <f t="shared" si="3"/>
        <v>Adult</v>
      </c>
      <c r="P116" t="str" cm="1">
        <f t="array" ref="P116">_xlfn.IFS(K116&gt;90,"Excellent",K116&gt;80,"Very Good",K116&gt;70,"Good",K116&gt;=50,"Poor",K116&lt;50,"Fail")</f>
        <v>Very Good</v>
      </c>
    </row>
    <row r="117" spans="1:16" x14ac:dyDescent="0.25">
      <c r="A117" t="s">
        <v>126</v>
      </c>
      <c r="B117" t="s">
        <v>1126</v>
      </c>
      <c r="C117" t="s">
        <v>2157</v>
      </c>
      <c r="D117" t="s">
        <v>2484</v>
      </c>
      <c r="E117" t="s">
        <v>2008</v>
      </c>
      <c r="F117">
        <v>16</v>
      </c>
      <c r="G117" t="s">
        <v>2009</v>
      </c>
      <c r="H117" t="s">
        <v>2015</v>
      </c>
      <c r="I117" t="s">
        <v>2018</v>
      </c>
      <c r="J117" t="s">
        <v>2023</v>
      </c>
      <c r="K117">
        <v>50</v>
      </c>
      <c r="L117" t="s">
        <v>2030</v>
      </c>
      <c r="M117" t="s">
        <v>2035</v>
      </c>
      <c r="N117" t="str">
        <f t="shared" si="2"/>
        <v>Pass</v>
      </c>
      <c r="O117" t="str">
        <f t="shared" si="3"/>
        <v>UnderAge</v>
      </c>
      <c r="P117" t="str" cm="1">
        <f t="array" ref="P117">_xlfn.IFS(K117&gt;90,"Excellent",K117&gt;80,"Very Good",K117&gt;70,"Good",K117&gt;=50,"Poor",K117&lt;50,"Fail")</f>
        <v>Poor</v>
      </c>
    </row>
    <row r="118" spans="1:16" x14ac:dyDescent="0.25">
      <c r="A118" t="s">
        <v>127</v>
      </c>
      <c r="B118" t="s">
        <v>1127</v>
      </c>
      <c r="C118" t="s">
        <v>2158</v>
      </c>
      <c r="D118" t="s">
        <v>2485</v>
      </c>
      <c r="E118" t="s">
        <v>2008</v>
      </c>
      <c r="F118">
        <v>17</v>
      </c>
      <c r="G118" t="s">
        <v>2013</v>
      </c>
      <c r="H118" t="s">
        <v>2015</v>
      </c>
      <c r="I118" t="s">
        <v>2019</v>
      </c>
      <c r="J118" t="s">
        <v>2023</v>
      </c>
      <c r="K118">
        <v>7</v>
      </c>
      <c r="L118" t="s">
        <v>2031</v>
      </c>
      <c r="M118" t="s">
        <v>2036</v>
      </c>
      <c r="N118" t="str">
        <f t="shared" si="2"/>
        <v>Fail</v>
      </c>
      <c r="O118" t="str">
        <f t="shared" si="3"/>
        <v>UnderAge</v>
      </c>
      <c r="P118" t="str" cm="1">
        <f t="array" ref="P118">_xlfn.IFS(K118&gt;90,"Excellent",K118&gt;80,"Very Good",K118&gt;70,"Good",K118&gt;=50,"Poor",K118&lt;50,"Fail")</f>
        <v>Fail</v>
      </c>
    </row>
    <row r="119" spans="1:16" x14ac:dyDescent="0.25">
      <c r="A119" t="s">
        <v>128</v>
      </c>
      <c r="B119" t="s">
        <v>1128</v>
      </c>
      <c r="C119" t="s">
        <v>2076</v>
      </c>
      <c r="D119" t="s">
        <v>2466</v>
      </c>
      <c r="E119" t="s">
        <v>2008</v>
      </c>
      <c r="F119">
        <v>18</v>
      </c>
      <c r="G119" t="s">
        <v>2011</v>
      </c>
      <c r="H119" t="s">
        <v>2015</v>
      </c>
      <c r="I119" t="s">
        <v>2022</v>
      </c>
      <c r="J119" t="s">
        <v>2024</v>
      </c>
      <c r="K119">
        <v>92</v>
      </c>
      <c r="L119" t="s">
        <v>2030</v>
      </c>
      <c r="M119" t="s">
        <v>2035</v>
      </c>
      <c r="N119" t="str">
        <f t="shared" si="2"/>
        <v>Pass</v>
      </c>
      <c r="O119" t="str">
        <f t="shared" si="3"/>
        <v>Adult</v>
      </c>
      <c r="P119" t="str" cm="1">
        <f t="array" ref="P119">_xlfn.IFS(K119&gt;90,"Excellent",K119&gt;80,"Very Good",K119&gt;70,"Good",K119&gt;=50,"Poor",K119&lt;50,"Fail")</f>
        <v>Excellent</v>
      </c>
    </row>
    <row r="120" spans="1:16" x14ac:dyDescent="0.25">
      <c r="A120" t="s">
        <v>129</v>
      </c>
      <c r="B120" t="s">
        <v>1129</v>
      </c>
      <c r="C120" t="s">
        <v>2159</v>
      </c>
      <c r="D120" t="s">
        <v>2486</v>
      </c>
      <c r="E120" t="s">
        <v>2007</v>
      </c>
      <c r="F120">
        <v>14</v>
      </c>
      <c r="G120" t="s">
        <v>2009</v>
      </c>
      <c r="H120" t="s">
        <v>2015</v>
      </c>
      <c r="I120" t="s">
        <v>2022</v>
      </c>
      <c r="J120" t="s">
        <v>2023</v>
      </c>
      <c r="K120">
        <v>15</v>
      </c>
      <c r="L120" t="s">
        <v>2028</v>
      </c>
      <c r="M120" t="s">
        <v>2036</v>
      </c>
      <c r="N120" t="str">
        <f t="shared" si="2"/>
        <v>Fail</v>
      </c>
      <c r="O120" t="str">
        <f t="shared" si="3"/>
        <v>UnderAge</v>
      </c>
      <c r="P120" t="str" cm="1">
        <f t="array" ref="P120">_xlfn.IFS(K120&gt;90,"Excellent",K120&gt;80,"Very Good",K120&gt;70,"Good",K120&gt;=50,"Poor",K120&lt;50,"Fail")</f>
        <v>Fail</v>
      </c>
    </row>
    <row r="121" spans="1:16" x14ac:dyDescent="0.25">
      <c r="A121" t="s">
        <v>130</v>
      </c>
      <c r="B121" t="s">
        <v>1130</v>
      </c>
      <c r="C121" t="s">
        <v>2160</v>
      </c>
      <c r="D121" t="s">
        <v>2487</v>
      </c>
      <c r="E121" t="s">
        <v>2008</v>
      </c>
      <c r="F121">
        <v>18</v>
      </c>
      <c r="G121" t="s">
        <v>2011</v>
      </c>
      <c r="H121" t="s">
        <v>2015</v>
      </c>
      <c r="I121" t="s">
        <v>2019</v>
      </c>
      <c r="J121" t="s">
        <v>2023</v>
      </c>
      <c r="K121">
        <v>100</v>
      </c>
      <c r="L121" t="s">
        <v>2031</v>
      </c>
      <c r="M121" t="s">
        <v>2035</v>
      </c>
      <c r="N121" t="str">
        <f t="shared" si="2"/>
        <v>Pass</v>
      </c>
      <c r="O121" t="str">
        <f t="shared" si="3"/>
        <v>Adult</v>
      </c>
      <c r="P121" t="str" cm="1">
        <f t="array" ref="P121">_xlfn.IFS(K121&gt;90,"Excellent",K121&gt;80,"Very Good",K121&gt;70,"Good",K121&gt;=50,"Poor",K121&lt;50,"Fail")</f>
        <v>Excellent</v>
      </c>
    </row>
    <row r="122" spans="1:16" x14ac:dyDescent="0.25">
      <c r="A122" t="s">
        <v>131</v>
      </c>
      <c r="B122" t="s">
        <v>1131</v>
      </c>
      <c r="C122" t="s">
        <v>2161</v>
      </c>
      <c r="D122" t="s">
        <v>2488</v>
      </c>
      <c r="E122" t="s">
        <v>2008</v>
      </c>
      <c r="F122">
        <v>15</v>
      </c>
      <c r="G122" t="s">
        <v>2011</v>
      </c>
      <c r="H122" t="s">
        <v>2017</v>
      </c>
      <c r="I122" t="s">
        <v>2022</v>
      </c>
      <c r="J122" t="s">
        <v>2023</v>
      </c>
      <c r="K122">
        <v>14</v>
      </c>
      <c r="L122" t="s">
        <v>2025</v>
      </c>
      <c r="M122" t="s">
        <v>2036</v>
      </c>
      <c r="N122" t="str">
        <f t="shared" si="2"/>
        <v>Fail</v>
      </c>
      <c r="O122" t="str">
        <f t="shared" si="3"/>
        <v>UnderAge</v>
      </c>
      <c r="P122" t="str" cm="1">
        <f t="array" ref="P122">_xlfn.IFS(K122&gt;90,"Excellent",K122&gt;80,"Very Good",K122&gt;70,"Good",K122&gt;=50,"Poor",K122&lt;50,"Fail")</f>
        <v>Fail</v>
      </c>
    </row>
    <row r="123" spans="1:16" x14ac:dyDescent="0.25">
      <c r="A123" t="s">
        <v>132</v>
      </c>
      <c r="B123" t="s">
        <v>1132</v>
      </c>
      <c r="C123" t="s">
        <v>2076</v>
      </c>
      <c r="D123" t="s">
        <v>2489</v>
      </c>
      <c r="E123" t="s">
        <v>2007</v>
      </c>
      <c r="F123">
        <v>14</v>
      </c>
      <c r="G123" t="s">
        <v>2009</v>
      </c>
      <c r="H123" t="s">
        <v>2017</v>
      </c>
      <c r="I123" t="s">
        <v>2021</v>
      </c>
      <c r="J123" t="s">
        <v>2024</v>
      </c>
      <c r="K123">
        <v>1</v>
      </c>
      <c r="L123" t="s">
        <v>2031</v>
      </c>
      <c r="M123" t="s">
        <v>2036</v>
      </c>
      <c r="N123" t="str">
        <f t="shared" si="2"/>
        <v>Fail</v>
      </c>
      <c r="O123" t="str">
        <f t="shared" si="3"/>
        <v>UnderAge</v>
      </c>
      <c r="P123" t="str" cm="1">
        <f t="array" ref="P123">_xlfn.IFS(K123&gt;90,"Excellent",K123&gt;80,"Very Good",K123&gt;70,"Good",K123&gt;=50,"Poor",K123&lt;50,"Fail")</f>
        <v>Fail</v>
      </c>
    </row>
    <row r="124" spans="1:16" x14ac:dyDescent="0.25">
      <c r="A124" t="s">
        <v>133</v>
      </c>
      <c r="B124" t="s">
        <v>1133</v>
      </c>
      <c r="C124" t="s">
        <v>2078</v>
      </c>
      <c r="D124" t="s">
        <v>2490</v>
      </c>
      <c r="E124" t="s">
        <v>2008</v>
      </c>
      <c r="F124">
        <v>18</v>
      </c>
      <c r="G124" t="s">
        <v>2009</v>
      </c>
      <c r="H124" t="s">
        <v>2017</v>
      </c>
      <c r="I124" t="s">
        <v>2020</v>
      </c>
      <c r="J124" t="s">
        <v>2024</v>
      </c>
      <c r="K124">
        <v>19</v>
      </c>
      <c r="L124" t="s">
        <v>2029</v>
      </c>
      <c r="M124" t="s">
        <v>2036</v>
      </c>
      <c r="N124" t="str">
        <f t="shared" si="2"/>
        <v>Fail</v>
      </c>
      <c r="O124" t="str">
        <f t="shared" si="3"/>
        <v>Adult</v>
      </c>
      <c r="P124" t="str" cm="1">
        <f t="array" ref="P124">_xlfn.IFS(K124&gt;90,"Excellent",K124&gt;80,"Very Good",K124&gt;70,"Good",K124&gt;=50,"Poor",K124&lt;50,"Fail")</f>
        <v>Fail</v>
      </c>
    </row>
    <row r="125" spans="1:16" x14ac:dyDescent="0.25">
      <c r="A125" t="s">
        <v>134</v>
      </c>
      <c r="B125" t="s">
        <v>1134</v>
      </c>
      <c r="C125" t="s">
        <v>2139</v>
      </c>
      <c r="D125" t="s">
        <v>2491</v>
      </c>
      <c r="E125" t="s">
        <v>2007</v>
      </c>
      <c r="F125">
        <v>15</v>
      </c>
      <c r="G125" t="s">
        <v>2011</v>
      </c>
      <c r="H125" t="s">
        <v>2016</v>
      </c>
      <c r="I125" t="s">
        <v>2022</v>
      </c>
      <c r="J125" t="s">
        <v>2023</v>
      </c>
      <c r="K125">
        <v>22</v>
      </c>
      <c r="L125" t="s">
        <v>2027</v>
      </c>
      <c r="M125" t="s">
        <v>2036</v>
      </c>
      <c r="N125" t="str">
        <f t="shared" si="2"/>
        <v>Fail</v>
      </c>
      <c r="O125" t="str">
        <f t="shared" si="3"/>
        <v>UnderAge</v>
      </c>
      <c r="P125" t="str" cm="1">
        <f t="array" ref="P125">_xlfn.IFS(K125&gt;90,"Excellent",K125&gt;80,"Very Good",K125&gt;70,"Good",K125&gt;=50,"Poor",K125&lt;50,"Fail")</f>
        <v>Fail</v>
      </c>
    </row>
    <row r="126" spans="1:16" x14ac:dyDescent="0.25">
      <c r="A126" t="s">
        <v>135</v>
      </c>
      <c r="B126" t="s">
        <v>1135</v>
      </c>
      <c r="C126" t="s">
        <v>2162</v>
      </c>
      <c r="D126" t="s">
        <v>2492</v>
      </c>
      <c r="E126" t="s">
        <v>2008</v>
      </c>
      <c r="F126">
        <v>16</v>
      </c>
      <c r="G126" t="s">
        <v>2010</v>
      </c>
      <c r="H126" t="s">
        <v>2014</v>
      </c>
      <c r="I126" t="s">
        <v>2022</v>
      </c>
      <c r="J126" t="s">
        <v>2024</v>
      </c>
      <c r="K126">
        <v>24</v>
      </c>
      <c r="L126" t="s">
        <v>2031</v>
      </c>
      <c r="M126" t="s">
        <v>2036</v>
      </c>
      <c r="N126" t="str">
        <f t="shared" si="2"/>
        <v>Fail</v>
      </c>
      <c r="O126" t="str">
        <f t="shared" si="3"/>
        <v>UnderAge</v>
      </c>
      <c r="P126" t="str" cm="1">
        <f t="array" ref="P126">_xlfn.IFS(K126&gt;90,"Excellent",K126&gt;80,"Very Good",K126&gt;70,"Good",K126&gt;=50,"Poor",K126&lt;50,"Fail")</f>
        <v>Fail</v>
      </c>
    </row>
    <row r="127" spans="1:16" x14ac:dyDescent="0.25">
      <c r="A127" t="s">
        <v>136</v>
      </c>
      <c r="B127" t="s">
        <v>1136</v>
      </c>
      <c r="C127" t="s">
        <v>2163</v>
      </c>
      <c r="D127" t="s">
        <v>2493</v>
      </c>
      <c r="E127" t="s">
        <v>2007</v>
      </c>
      <c r="F127">
        <v>15</v>
      </c>
      <c r="G127" t="s">
        <v>2009</v>
      </c>
      <c r="H127" t="s">
        <v>2015</v>
      </c>
      <c r="I127" t="s">
        <v>2019</v>
      </c>
      <c r="J127" t="s">
        <v>2023</v>
      </c>
      <c r="K127">
        <v>25</v>
      </c>
      <c r="L127" t="s">
        <v>2025</v>
      </c>
      <c r="M127" t="s">
        <v>2036</v>
      </c>
      <c r="N127" t="str">
        <f t="shared" si="2"/>
        <v>Fail</v>
      </c>
      <c r="O127" t="str">
        <f t="shared" si="3"/>
        <v>UnderAge</v>
      </c>
      <c r="P127" t="str" cm="1">
        <f t="array" ref="P127">_xlfn.IFS(K127&gt;90,"Excellent",K127&gt;80,"Very Good",K127&gt;70,"Good",K127&gt;=50,"Poor",K127&lt;50,"Fail")</f>
        <v>Fail</v>
      </c>
    </row>
    <row r="128" spans="1:16" x14ac:dyDescent="0.25">
      <c r="A128" t="s">
        <v>137</v>
      </c>
      <c r="B128" t="s">
        <v>1137</v>
      </c>
      <c r="C128" t="s">
        <v>2164</v>
      </c>
      <c r="D128" t="s">
        <v>2494</v>
      </c>
      <c r="E128" t="s">
        <v>2008</v>
      </c>
      <c r="F128">
        <v>15</v>
      </c>
      <c r="G128" t="s">
        <v>2010</v>
      </c>
      <c r="H128" t="s">
        <v>2016</v>
      </c>
      <c r="I128" t="s">
        <v>2020</v>
      </c>
      <c r="J128" t="s">
        <v>2024</v>
      </c>
      <c r="K128">
        <v>97</v>
      </c>
      <c r="L128" t="s">
        <v>2032</v>
      </c>
      <c r="M128" t="s">
        <v>2035</v>
      </c>
      <c r="N128" t="str">
        <f t="shared" si="2"/>
        <v>Pass</v>
      </c>
      <c r="O128" t="str">
        <f t="shared" si="3"/>
        <v>UnderAge</v>
      </c>
      <c r="P128" t="str" cm="1">
        <f t="array" ref="P128">_xlfn.IFS(K128&gt;90,"Excellent",K128&gt;80,"Very Good",K128&gt;70,"Good",K128&gt;=50,"Poor",K128&lt;50,"Fail")</f>
        <v>Excellent</v>
      </c>
    </row>
    <row r="129" spans="1:16" x14ac:dyDescent="0.25">
      <c r="A129" t="s">
        <v>138</v>
      </c>
      <c r="B129" t="s">
        <v>1138</v>
      </c>
      <c r="C129" t="s">
        <v>2165</v>
      </c>
      <c r="D129" t="s">
        <v>2495</v>
      </c>
      <c r="E129" t="s">
        <v>2007</v>
      </c>
      <c r="F129">
        <v>15</v>
      </c>
      <c r="G129" t="s">
        <v>2009</v>
      </c>
      <c r="H129" t="s">
        <v>2014</v>
      </c>
      <c r="I129" t="s">
        <v>2021</v>
      </c>
      <c r="J129" t="s">
        <v>2024</v>
      </c>
      <c r="K129">
        <v>74</v>
      </c>
      <c r="L129" t="s">
        <v>2031</v>
      </c>
      <c r="M129" t="s">
        <v>2035</v>
      </c>
      <c r="N129" t="str">
        <f t="shared" si="2"/>
        <v>Pass</v>
      </c>
      <c r="O129" t="str">
        <f t="shared" si="3"/>
        <v>UnderAge</v>
      </c>
      <c r="P129" t="str" cm="1">
        <f t="array" ref="P129">_xlfn.IFS(K129&gt;90,"Excellent",K129&gt;80,"Very Good",K129&gt;70,"Good",K129&gt;=50,"Poor",K129&lt;50,"Fail")</f>
        <v>Good</v>
      </c>
    </row>
    <row r="130" spans="1:16" x14ac:dyDescent="0.25">
      <c r="A130" t="s">
        <v>139</v>
      </c>
      <c r="B130" t="s">
        <v>1139</v>
      </c>
      <c r="C130" t="s">
        <v>2105</v>
      </c>
      <c r="D130" t="s">
        <v>2496</v>
      </c>
      <c r="E130" t="s">
        <v>2007</v>
      </c>
      <c r="F130">
        <v>14</v>
      </c>
      <c r="G130" t="s">
        <v>2009</v>
      </c>
      <c r="H130" t="s">
        <v>2016</v>
      </c>
      <c r="I130" t="s">
        <v>2020</v>
      </c>
      <c r="J130" t="s">
        <v>2023</v>
      </c>
      <c r="K130">
        <v>4</v>
      </c>
      <c r="L130" t="s">
        <v>2026</v>
      </c>
      <c r="M130" t="s">
        <v>2036</v>
      </c>
      <c r="N130" t="str">
        <f t="shared" si="2"/>
        <v>Fail</v>
      </c>
      <c r="O130" t="str">
        <f t="shared" si="3"/>
        <v>UnderAge</v>
      </c>
      <c r="P130" t="str" cm="1">
        <f t="array" ref="P130">_xlfn.IFS(K130&gt;90,"Excellent",K130&gt;80,"Very Good",K130&gt;70,"Good",K130&gt;=50,"Poor",K130&lt;50,"Fail")</f>
        <v>Fail</v>
      </c>
    </row>
    <row r="131" spans="1:16" x14ac:dyDescent="0.25">
      <c r="A131" t="s">
        <v>140</v>
      </c>
      <c r="B131" t="s">
        <v>1140</v>
      </c>
      <c r="C131" t="s">
        <v>2166</v>
      </c>
      <c r="D131" t="s">
        <v>2431</v>
      </c>
      <c r="E131" t="s">
        <v>2007</v>
      </c>
      <c r="F131">
        <v>16</v>
      </c>
      <c r="G131" t="s">
        <v>2010</v>
      </c>
      <c r="H131" t="s">
        <v>2015</v>
      </c>
      <c r="I131" t="s">
        <v>2020</v>
      </c>
      <c r="J131" t="s">
        <v>2023</v>
      </c>
      <c r="K131">
        <v>25</v>
      </c>
      <c r="L131" t="s">
        <v>2025</v>
      </c>
      <c r="M131" t="s">
        <v>2036</v>
      </c>
      <c r="N131" t="str">
        <f t="shared" ref="N131:N194" si="4">IF(K131&gt;=50,"Pass","Fail")</f>
        <v>Fail</v>
      </c>
      <c r="O131" t="str">
        <f t="shared" ref="O131:O194" si="5">IF(F131&gt;=18,"Adult","UnderAge")</f>
        <v>UnderAge</v>
      </c>
      <c r="P131" t="str" cm="1">
        <f t="array" ref="P131">_xlfn.IFS(K131&gt;90,"Excellent",K131&gt;80,"Very Good",K131&gt;70,"Good",K131&gt;=50,"Poor",K131&lt;50,"Fail")</f>
        <v>Fail</v>
      </c>
    </row>
    <row r="132" spans="1:16" x14ac:dyDescent="0.25">
      <c r="A132" t="s">
        <v>141</v>
      </c>
      <c r="B132" t="s">
        <v>1141</v>
      </c>
      <c r="C132" t="s">
        <v>2075</v>
      </c>
      <c r="D132" t="s">
        <v>2497</v>
      </c>
      <c r="E132" t="s">
        <v>2008</v>
      </c>
      <c r="F132">
        <v>15</v>
      </c>
      <c r="G132" t="s">
        <v>2010</v>
      </c>
      <c r="H132" t="s">
        <v>2015</v>
      </c>
      <c r="I132" t="s">
        <v>2020</v>
      </c>
      <c r="J132" t="s">
        <v>2024</v>
      </c>
      <c r="K132">
        <v>81</v>
      </c>
      <c r="L132" t="s">
        <v>2032</v>
      </c>
      <c r="M132" t="s">
        <v>2035</v>
      </c>
      <c r="N132" t="str">
        <f t="shared" si="4"/>
        <v>Pass</v>
      </c>
      <c r="O132" t="str">
        <f t="shared" si="5"/>
        <v>UnderAge</v>
      </c>
      <c r="P132" t="str" cm="1">
        <f t="array" ref="P132">_xlfn.IFS(K132&gt;90,"Excellent",K132&gt;80,"Very Good",K132&gt;70,"Good",K132&gt;=50,"Poor",K132&lt;50,"Fail")</f>
        <v>Very Good</v>
      </c>
    </row>
    <row r="133" spans="1:16" x14ac:dyDescent="0.25">
      <c r="A133" t="s">
        <v>142</v>
      </c>
      <c r="B133" t="s">
        <v>1142</v>
      </c>
      <c r="C133" t="s">
        <v>2130</v>
      </c>
      <c r="D133" t="s">
        <v>2498</v>
      </c>
      <c r="E133" t="s">
        <v>2007</v>
      </c>
      <c r="F133">
        <v>14</v>
      </c>
      <c r="G133" t="s">
        <v>2010</v>
      </c>
      <c r="H133" t="s">
        <v>2017</v>
      </c>
      <c r="I133" t="s">
        <v>2018</v>
      </c>
      <c r="J133" t="s">
        <v>2024</v>
      </c>
      <c r="K133">
        <v>78</v>
      </c>
      <c r="L133" t="s">
        <v>2034</v>
      </c>
      <c r="M133" t="s">
        <v>2035</v>
      </c>
      <c r="N133" t="str">
        <f t="shared" si="4"/>
        <v>Pass</v>
      </c>
      <c r="O133" t="str">
        <f t="shared" si="5"/>
        <v>UnderAge</v>
      </c>
      <c r="P133" t="str" cm="1">
        <f t="array" ref="P133">_xlfn.IFS(K133&gt;90,"Excellent",K133&gt;80,"Very Good",K133&gt;70,"Good",K133&gt;=50,"Poor",K133&lt;50,"Fail")</f>
        <v>Good</v>
      </c>
    </row>
    <row r="134" spans="1:16" x14ac:dyDescent="0.25">
      <c r="A134" t="s">
        <v>143</v>
      </c>
      <c r="B134" t="s">
        <v>1143</v>
      </c>
      <c r="C134" t="s">
        <v>2167</v>
      </c>
      <c r="D134" t="s">
        <v>2499</v>
      </c>
      <c r="E134" t="s">
        <v>2008</v>
      </c>
      <c r="F134">
        <v>18</v>
      </c>
      <c r="G134" t="s">
        <v>2011</v>
      </c>
      <c r="H134" t="s">
        <v>2014</v>
      </c>
      <c r="I134" t="s">
        <v>2020</v>
      </c>
      <c r="J134" t="s">
        <v>2023</v>
      </c>
      <c r="K134">
        <v>44</v>
      </c>
      <c r="L134" t="s">
        <v>2025</v>
      </c>
      <c r="M134" t="s">
        <v>2036</v>
      </c>
      <c r="N134" t="str">
        <f t="shared" si="4"/>
        <v>Fail</v>
      </c>
      <c r="O134" t="str">
        <f t="shared" si="5"/>
        <v>Adult</v>
      </c>
      <c r="P134" t="str" cm="1">
        <f t="array" ref="P134">_xlfn.IFS(K134&gt;90,"Excellent",K134&gt;80,"Very Good",K134&gt;70,"Good",K134&gt;=50,"Poor",K134&lt;50,"Fail")</f>
        <v>Fail</v>
      </c>
    </row>
    <row r="135" spans="1:16" x14ac:dyDescent="0.25">
      <c r="A135" t="s">
        <v>144</v>
      </c>
      <c r="B135" t="s">
        <v>1144</v>
      </c>
      <c r="C135" t="s">
        <v>2071</v>
      </c>
      <c r="D135" t="s">
        <v>2437</v>
      </c>
      <c r="E135" t="s">
        <v>2007</v>
      </c>
      <c r="F135">
        <v>17</v>
      </c>
      <c r="G135" t="s">
        <v>2009</v>
      </c>
      <c r="H135" t="s">
        <v>2014</v>
      </c>
      <c r="I135" t="s">
        <v>2020</v>
      </c>
      <c r="J135" t="s">
        <v>2023</v>
      </c>
      <c r="K135">
        <v>70</v>
      </c>
      <c r="L135" t="s">
        <v>2027</v>
      </c>
      <c r="M135" t="s">
        <v>2035</v>
      </c>
      <c r="N135" t="str">
        <f t="shared" si="4"/>
        <v>Pass</v>
      </c>
      <c r="O135" t="str">
        <f t="shared" si="5"/>
        <v>UnderAge</v>
      </c>
      <c r="P135" t="str" cm="1">
        <f t="array" ref="P135">_xlfn.IFS(K135&gt;90,"Excellent",K135&gt;80,"Very Good",K135&gt;70,"Good",K135&gt;=50,"Poor",K135&lt;50,"Fail")</f>
        <v>Poor</v>
      </c>
    </row>
    <row r="136" spans="1:16" x14ac:dyDescent="0.25">
      <c r="A136" t="s">
        <v>145</v>
      </c>
      <c r="B136" t="s">
        <v>1145</v>
      </c>
      <c r="C136" t="s">
        <v>2168</v>
      </c>
      <c r="D136" t="s">
        <v>2500</v>
      </c>
      <c r="E136" t="s">
        <v>2007</v>
      </c>
      <c r="F136">
        <v>14</v>
      </c>
      <c r="G136" t="s">
        <v>2013</v>
      </c>
      <c r="H136" t="s">
        <v>2014</v>
      </c>
      <c r="I136" t="s">
        <v>2020</v>
      </c>
      <c r="J136" t="s">
        <v>2024</v>
      </c>
      <c r="K136">
        <v>13</v>
      </c>
      <c r="L136" t="s">
        <v>2034</v>
      </c>
      <c r="M136" t="s">
        <v>2036</v>
      </c>
      <c r="N136" t="str">
        <f t="shared" si="4"/>
        <v>Fail</v>
      </c>
      <c r="O136" t="str">
        <f t="shared" si="5"/>
        <v>UnderAge</v>
      </c>
      <c r="P136" t="str" cm="1">
        <f t="array" ref="P136">_xlfn.IFS(K136&gt;90,"Excellent",K136&gt;80,"Very Good",K136&gt;70,"Good",K136&gt;=50,"Poor",K136&lt;50,"Fail")</f>
        <v>Fail</v>
      </c>
    </row>
    <row r="137" spans="1:16" x14ac:dyDescent="0.25">
      <c r="A137" t="s">
        <v>146</v>
      </c>
      <c r="B137" t="s">
        <v>1146</v>
      </c>
      <c r="C137" t="s">
        <v>2169</v>
      </c>
      <c r="D137" t="s">
        <v>2501</v>
      </c>
      <c r="E137" t="s">
        <v>2008</v>
      </c>
      <c r="F137">
        <v>17</v>
      </c>
      <c r="G137" t="s">
        <v>2010</v>
      </c>
      <c r="H137" t="s">
        <v>2014</v>
      </c>
      <c r="I137" t="s">
        <v>2018</v>
      </c>
      <c r="J137" t="s">
        <v>2024</v>
      </c>
      <c r="K137">
        <v>33</v>
      </c>
      <c r="L137" t="s">
        <v>2031</v>
      </c>
      <c r="M137" t="s">
        <v>2036</v>
      </c>
      <c r="N137" t="str">
        <f t="shared" si="4"/>
        <v>Fail</v>
      </c>
      <c r="O137" t="str">
        <f t="shared" si="5"/>
        <v>UnderAge</v>
      </c>
      <c r="P137" t="str" cm="1">
        <f t="array" ref="P137">_xlfn.IFS(K137&gt;90,"Excellent",K137&gt;80,"Very Good",K137&gt;70,"Good",K137&gt;=50,"Poor",K137&lt;50,"Fail")</f>
        <v>Fail</v>
      </c>
    </row>
    <row r="138" spans="1:16" x14ac:dyDescent="0.25">
      <c r="A138" t="s">
        <v>147</v>
      </c>
      <c r="B138" t="s">
        <v>1147</v>
      </c>
      <c r="C138" t="s">
        <v>2070</v>
      </c>
      <c r="D138" t="s">
        <v>2502</v>
      </c>
      <c r="E138" t="s">
        <v>2007</v>
      </c>
      <c r="F138">
        <v>15</v>
      </c>
      <c r="G138" t="s">
        <v>2009</v>
      </c>
      <c r="H138" t="s">
        <v>2016</v>
      </c>
      <c r="I138" t="s">
        <v>2020</v>
      </c>
      <c r="J138" t="s">
        <v>2023</v>
      </c>
      <c r="K138">
        <v>32</v>
      </c>
      <c r="L138" t="s">
        <v>2034</v>
      </c>
      <c r="M138" t="s">
        <v>2036</v>
      </c>
      <c r="N138" t="str">
        <f t="shared" si="4"/>
        <v>Fail</v>
      </c>
      <c r="O138" t="str">
        <f t="shared" si="5"/>
        <v>UnderAge</v>
      </c>
      <c r="P138" t="str" cm="1">
        <f t="array" ref="P138">_xlfn.IFS(K138&gt;90,"Excellent",K138&gt;80,"Very Good",K138&gt;70,"Good",K138&gt;=50,"Poor",K138&lt;50,"Fail")</f>
        <v>Fail</v>
      </c>
    </row>
    <row r="139" spans="1:16" x14ac:dyDescent="0.25">
      <c r="A139" t="s">
        <v>148</v>
      </c>
      <c r="B139" t="s">
        <v>1148</v>
      </c>
      <c r="C139" t="s">
        <v>2170</v>
      </c>
      <c r="D139" t="s">
        <v>2447</v>
      </c>
      <c r="E139" t="s">
        <v>2007</v>
      </c>
      <c r="F139">
        <v>15</v>
      </c>
      <c r="G139" t="s">
        <v>2009</v>
      </c>
      <c r="H139" t="s">
        <v>2015</v>
      </c>
      <c r="I139" t="s">
        <v>2022</v>
      </c>
      <c r="J139" t="s">
        <v>2024</v>
      </c>
      <c r="K139">
        <v>79</v>
      </c>
      <c r="L139" t="s">
        <v>2032</v>
      </c>
      <c r="M139" t="s">
        <v>2035</v>
      </c>
      <c r="N139" t="str">
        <f t="shared" si="4"/>
        <v>Pass</v>
      </c>
      <c r="O139" t="str">
        <f t="shared" si="5"/>
        <v>UnderAge</v>
      </c>
      <c r="P139" t="str" cm="1">
        <f t="array" ref="P139">_xlfn.IFS(K139&gt;90,"Excellent",K139&gt;80,"Very Good",K139&gt;70,"Good",K139&gt;=50,"Poor",K139&lt;50,"Fail")</f>
        <v>Good</v>
      </c>
    </row>
    <row r="140" spans="1:16" x14ac:dyDescent="0.25">
      <c r="A140" t="s">
        <v>149</v>
      </c>
      <c r="B140" t="s">
        <v>1149</v>
      </c>
      <c r="C140" t="s">
        <v>2171</v>
      </c>
      <c r="D140" t="s">
        <v>2453</v>
      </c>
      <c r="E140" t="s">
        <v>2007</v>
      </c>
      <c r="F140">
        <v>15</v>
      </c>
      <c r="G140" t="s">
        <v>2010</v>
      </c>
      <c r="H140" t="s">
        <v>2017</v>
      </c>
      <c r="I140" t="s">
        <v>2022</v>
      </c>
      <c r="J140" t="s">
        <v>2023</v>
      </c>
      <c r="K140">
        <v>3</v>
      </c>
      <c r="L140" t="s">
        <v>2034</v>
      </c>
      <c r="M140" t="s">
        <v>2036</v>
      </c>
      <c r="N140" t="str">
        <f t="shared" si="4"/>
        <v>Fail</v>
      </c>
      <c r="O140" t="str">
        <f t="shared" si="5"/>
        <v>UnderAge</v>
      </c>
      <c r="P140" t="str" cm="1">
        <f t="array" ref="P140">_xlfn.IFS(K140&gt;90,"Excellent",K140&gt;80,"Very Good",K140&gt;70,"Good",K140&gt;=50,"Poor",K140&lt;50,"Fail")</f>
        <v>Fail</v>
      </c>
    </row>
    <row r="141" spans="1:16" x14ac:dyDescent="0.25">
      <c r="A141" t="s">
        <v>150</v>
      </c>
      <c r="B141" t="s">
        <v>1150</v>
      </c>
      <c r="C141" t="s">
        <v>2172</v>
      </c>
      <c r="D141" t="s">
        <v>2503</v>
      </c>
      <c r="E141" t="s">
        <v>2008</v>
      </c>
      <c r="F141">
        <v>17</v>
      </c>
      <c r="G141" t="s">
        <v>2009</v>
      </c>
      <c r="H141" t="s">
        <v>2017</v>
      </c>
      <c r="I141" t="s">
        <v>2018</v>
      </c>
      <c r="J141" t="s">
        <v>2024</v>
      </c>
      <c r="K141">
        <v>15</v>
      </c>
      <c r="L141" t="s">
        <v>2027</v>
      </c>
      <c r="M141" t="s">
        <v>2036</v>
      </c>
      <c r="N141" t="str">
        <f t="shared" si="4"/>
        <v>Fail</v>
      </c>
      <c r="O141" t="str">
        <f t="shared" si="5"/>
        <v>UnderAge</v>
      </c>
      <c r="P141" t="str" cm="1">
        <f t="array" ref="P141">_xlfn.IFS(K141&gt;90,"Excellent",K141&gt;80,"Very Good",K141&gt;70,"Good",K141&gt;=50,"Poor",K141&lt;50,"Fail")</f>
        <v>Fail</v>
      </c>
    </row>
    <row r="142" spans="1:16" x14ac:dyDescent="0.25">
      <c r="A142" t="s">
        <v>151</v>
      </c>
      <c r="B142" t="s">
        <v>1151</v>
      </c>
      <c r="C142" t="s">
        <v>2173</v>
      </c>
      <c r="D142" t="s">
        <v>2453</v>
      </c>
      <c r="E142" t="s">
        <v>2007</v>
      </c>
      <c r="F142">
        <v>16</v>
      </c>
      <c r="G142" t="s">
        <v>2010</v>
      </c>
      <c r="H142" t="s">
        <v>2014</v>
      </c>
      <c r="I142" t="s">
        <v>2019</v>
      </c>
      <c r="J142" t="s">
        <v>2024</v>
      </c>
      <c r="K142">
        <v>40</v>
      </c>
      <c r="L142" t="s">
        <v>2025</v>
      </c>
      <c r="M142" t="s">
        <v>2036</v>
      </c>
      <c r="N142" t="str">
        <f t="shared" si="4"/>
        <v>Fail</v>
      </c>
      <c r="O142" t="str">
        <f t="shared" si="5"/>
        <v>UnderAge</v>
      </c>
      <c r="P142" t="str" cm="1">
        <f t="array" ref="P142">_xlfn.IFS(K142&gt;90,"Excellent",K142&gt;80,"Very Good",K142&gt;70,"Good",K142&gt;=50,"Poor",K142&lt;50,"Fail")</f>
        <v>Fail</v>
      </c>
    </row>
    <row r="143" spans="1:16" x14ac:dyDescent="0.25">
      <c r="A143" t="s">
        <v>152</v>
      </c>
      <c r="B143" t="s">
        <v>1152</v>
      </c>
      <c r="C143" t="s">
        <v>2065</v>
      </c>
      <c r="D143" t="s">
        <v>2058</v>
      </c>
      <c r="E143" t="s">
        <v>2008</v>
      </c>
      <c r="F143">
        <v>16</v>
      </c>
      <c r="G143" t="s">
        <v>2011</v>
      </c>
      <c r="H143" t="s">
        <v>2017</v>
      </c>
      <c r="I143" t="s">
        <v>2018</v>
      </c>
      <c r="J143" t="s">
        <v>2023</v>
      </c>
      <c r="K143">
        <v>60</v>
      </c>
      <c r="L143" t="s">
        <v>2027</v>
      </c>
      <c r="M143" t="s">
        <v>2035</v>
      </c>
      <c r="N143" t="str">
        <f t="shared" si="4"/>
        <v>Pass</v>
      </c>
      <c r="O143" t="str">
        <f t="shared" si="5"/>
        <v>UnderAge</v>
      </c>
      <c r="P143" t="str" cm="1">
        <f t="array" ref="P143">_xlfn.IFS(K143&gt;90,"Excellent",K143&gt;80,"Very Good",K143&gt;70,"Good",K143&gt;=50,"Poor",K143&lt;50,"Fail")</f>
        <v>Poor</v>
      </c>
    </row>
    <row r="144" spans="1:16" x14ac:dyDescent="0.25">
      <c r="A144" t="s">
        <v>153</v>
      </c>
      <c r="B144" t="s">
        <v>1153</v>
      </c>
      <c r="C144" t="s">
        <v>2174</v>
      </c>
      <c r="D144" t="s">
        <v>2504</v>
      </c>
      <c r="E144" t="s">
        <v>2007</v>
      </c>
      <c r="F144">
        <v>14</v>
      </c>
      <c r="G144" t="s">
        <v>2013</v>
      </c>
      <c r="H144" t="s">
        <v>2016</v>
      </c>
      <c r="I144" t="s">
        <v>2022</v>
      </c>
      <c r="J144" t="s">
        <v>2023</v>
      </c>
      <c r="K144">
        <v>19</v>
      </c>
      <c r="L144" t="s">
        <v>2030</v>
      </c>
      <c r="M144" t="s">
        <v>2036</v>
      </c>
      <c r="N144" t="str">
        <f t="shared" si="4"/>
        <v>Fail</v>
      </c>
      <c r="O144" t="str">
        <f t="shared" si="5"/>
        <v>UnderAge</v>
      </c>
      <c r="P144" t="str" cm="1">
        <f t="array" ref="P144">_xlfn.IFS(K144&gt;90,"Excellent",K144&gt;80,"Very Good",K144&gt;70,"Good",K144&gt;=50,"Poor",K144&lt;50,"Fail")</f>
        <v>Fail</v>
      </c>
    </row>
    <row r="145" spans="1:16" x14ac:dyDescent="0.25">
      <c r="A145" t="s">
        <v>154</v>
      </c>
      <c r="B145" t="s">
        <v>1154</v>
      </c>
      <c r="C145" t="s">
        <v>2107</v>
      </c>
      <c r="D145" t="s">
        <v>2416</v>
      </c>
      <c r="E145" t="s">
        <v>2008</v>
      </c>
      <c r="F145">
        <v>17</v>
      </c>
      <c r="G145" t="s">
        <v>2011</v>
      </c>
      <c r="H145" t="s">
        <v>2017</v>
      </c>
      <c r="I145" t="s">
        <v>2022</v>
      </c>
      <c r="J145" t="s">
        <v>2023</v>
      </c>
      <c r="K145">
        <v>17</v>
      </c>
      <c r="L145" t="s">
        <v>2026</v>
      </c>
      <c r="M145" t="s">
        <v>2036</v>
      </c>
      <c r="N145" t="str">
        <f t="shared" si="4"/>
        <v>Fail</v>
      </c>
      <c r="O145" t="str">
        <f t="shared" si="5"/>
        <v>UnderAge</v>
      </c>
      <c r="P145" t="str" cm="1">
        <f t="array" ref="P145">_xlfn.IFS(K145&gt;90,"Excellent",K145&gt;80,"Very Good",K145&gt;70,"Good",K145&gt;=50,"Poor",K145&lt;50,"Fail")</f>
        <v>Fail</v>
      </c>
    </row>
    <row r="146" spans="1:16" x14ac:dyDescent="0.25">
      <c r="A146" t="s">
        <v>155</v>
      </c>
      <c r="B146" t="s">
        <v>1155</v>
      </c>
      <c r="C146" t="s">
        <v>2175</v>
      </c>
      <c r="D146" t="s">
        <v>2453</v>
      </c>
      <c r="E146" t="s">
        <v>2007</v>
      </c>
      <c r="F146">
        <v>16</v>
      </c>
      <c r="G146" t="s">
        <v>2012</v>
      </c>
      <c r="H146" t="s">
        <v>2014</v>
      </c>
      <c r="I146" t="s">
        <v>2018</v>
      </c>
      <c r="J146" t="s">
        <v>2024</v>
      </c>
      <c r="K146">
        <v>90</v>
      </c>
      <c r="L146" t="s">
        <v>2033</v>
      </c>
      <c r="M146" t="s">
        <v>2035</v>
      </c>
      <c r="N146" t="str">
        <f t="shared" si="4"/>
        <v>Pass</v>
      </c>
      <c r="O146" t="str">
        <f t="shared" si="5"/>
        <v>UnderAge</v>
      </c>
      <c r="P146" t="str" cm="1">
        <f t="array" ref="P146">_xlfn.IFS(K146&gt;90,"Excellent",K146&gt;80,"Very Good",K146&gt;70,"Good",K146&gt;=50,"Poor",K146&lt;50,"Fail")</f>
        <v>Very Good</v>
      </c>
    </row>
    <row r="147" spans="1:16" x14ac:dyDescent="0.25">
      <c r="A147" t="s">
        <v>156</v>
      </c>
      <c r="B147" t="s">
        <v>1156</v>
      </c>
      <c r="C147" t="s">
        <v>2103</v>
      </c>
      <c r="D147" t="s">
        <v>2505</v>
      </c>
      <c r="E147" t="s">
        <v>2008</v>
      </c>
      <c r="F147">
        <v>18</v>
      </c>
      <c r="G147" t="s">
        <v>2012</v>
      </c>
      <c r="H147" t="s">
        <v>2015</v>
      </c>
      <c r="I147" t="s">
        <v>2021</v>
      </c>
      <c r="J147" t="s">
        <v>2023</v>
      </c>
      <c r="K147">
        <v>45</v>
      </c>
      <c r="L147" t="s">
        <v>2025</v>
      </c>
      <c r="M147" t="s">
        <v>2036</v>
      </c>
      <c r="N147" t="str">
        <f t="shared" si="4"/>
        <v>Fail</v>
      </c>
      <c r="O147" t="str">
        <f t="shared" si="5"/>
        <v>Adult</v>
      </c>
      <c r="P147" t="str" cm="1">
        <f t="array" ref="P147">_xlfn.IFS(K147&gt;90,"Excellent",K147&gt;80,"Very Good",K147&gt;70,"Good",K147&gt;=50,"Poor",K147&lt;50,"Fail")</f>
        <v>Fail</v>
      </c>
    </row>
    <row r="148" spans="1:16" x14ac:dyDescent="0.25">
      <c r="A148" t="s">
        <v>157</v>
      </c>
      <c r="B148" t="s">
        <v>1157</v>
      </c>
      <c r="C148" t="s">
        <v>2176</v>
      </c>
      <c r="D148" t="s">
        <v>2506</v>
      </c>
      <c r="E148" t="s">
        <v>2008</v>
      </c>
      <c r="F148">
        <v>17</v>
      </c>
      <c r="G148" t="s">
        <v>2011</v>
      </c>
      <c r="H148" t="s">
        <v>2015</v>
      </c>
      <c r="I148" t="s">
        <v>2022</v>
      </c>
      <c r="J148" t="s">
        <v>2024</v>
      </c>
      <c r="K148">
        <v>2</v>
      </c>
      <c r="L148" t="s">
        <v>2033</v>
      </c>
      <c r="M148" t="s">
        <v>2036</v>
      </c>
      <c r="N148" t="str">
        <f t="shared" si="4"/>
        <v>Fail</v>
      </c>
      <c r="O148" t="str">
        <f t="shared" si="5"/>
        <v>UnderAge</v>
      </c>
      <c r="P148" t="str" cm="1">
        <f t="array" ref="P148">_xlfn.IFS(K148&gt;90,"Excellent",K148&gt;80,"Very Good",K148&gt;70,"Good",K148&gt;=50,"Poor",K148&lt;50,"Fail")</f>
        <v>Fail</v>
      </c>
    </row>
    <row r="149" spans="1:16" x14ac:dyDescent="0.25">
      <c r="A149" t="s">
        <v>158</v>
      </c>
      <c r="B149" t="s">
        <v>1158</v>
      </c>
      <c r="C149" t="s">
        <v>2164</v>
      </c>
      <c r="D149" t="s">
        <v>2507</v>
      </c>
      <c r="E149" t="s">
        <v>2007</v>
      </c>
      <c r="F149">
        <v>17</v>
      </c>
      <c r="G149" t="s">
        <v>2011</v>
      </c>
      <c r="H149" t="s">
        <v>2016</v>
      </c>
      <c r="I149" t="s">
        <v>2019</v>
      </c>
      <c r="J149" t="s">
        <v>2023</v>
      </c>
      <c r="K149">
        <v>48</v>
      </c>
      <c r="L149" t="s">
        <v>2027</v>
      </c>
      <c r="M149" t="s">
        <v>2036</v>
      </c>
      <c r="N149" t="str">
        <f t="shared" si="4"/>
        <v>Fail</v>
      </c>
      <c r="O149" t="str">
        <f t="shared" si="5"/>
        <v>UnderAge</v>
      </c>
      <c r="P149" t="str" cm="1">
        <f t="array" ref="P149">_xlfn.IFS(K149&gt;90,"Excellent",K149&gt;80,"Very Good",K149&gt;70,"Good",K149&gt;=50,"Poor",K149&lt;50,"Fail")</f>
        <v>Fail</v>
      </c>
    </row>
    <row r="150" spans="1:16" x14ac:dyDescent="0.25">
      <c r="A150" t="s">
        <v>159</v>
      </c>
      <c r="B150" t="s">
        <v>1159</v>
      </c>
      <c r="C150" t="s">
        <v>2076</v>
      </c>
      <c r="D150" t="s">
        <v>2508</v>
      </c>
      <c r="E150" t="s">
        <v>2007</v>
      </c>
      <c r="F150">
        <v>14</v>
      </c>
      <c r="G150" t="s">
        <v>2012</v>
      </c>
      <c r="H150" t="s">
        <v>2015</v>
      </c>
      <c r="I150" t="s">
        <v>2018</v>
      </c>
      <c r="J150" t="s">
        <v>2023</v>
      </c>
      <c r="K150">
        <v>57</v>
      </c>
      <c r="L150" t="s">
        <v>2029</v>
      </c>
      <c r="M150" t="s">
        <v>2035</v>
      </c>
      <c r="N150" t="str">
        <f t="shared" si="4"/>
        <v>Pass</v>
      </c>
      <c r="O150" t="str">
        <f t="shared" si="5"/>
        <v>UnderAge</v>
      </c>
      <c r="P150" t="str" cm="1">
        <f t="array" ref="P150">_xlfn.IFS(K150&gt;90,"Excellent",K150&gt;80,"Very Good",K150&gt;70,"Good",K150&gt;=50,"Poor",K150&lt;50,"Fail")</f>
        <v>Poor</v>
      </c>
    </row>
    <row r="151" spans="1:16" x14ac:dyDescent="0.25">
      <c r="A151" t="s">
        <v>160</v>
      </c>
      <c r="B151" t="s">
        <v>1160</v>
      </c>
      <c r="C151" t="s">
        <v>2128</v>
      </c>
      <c r="D151" t="s">
        <v>2146</v>
      </c>
      <c r="E151" t="s">
        <v>2008</v>
      </c>
      <c r="F151">
        <v>15</v>
      </c>
      <c r="G151" t="s">
        <v>2011</v>
      </c>
      <c r="H151" t="s">
        <v>2016</v>
      </c>
      <c r="I151" t="s">
        <v>2018</v>
      </c>
      <c r="J151" t="s">
        <v>2024</v>
      </c>
      <c r="K151">
        <v>93</v>
      </c>
      <c r="L151" t="s">
        <v>2026</v>
      </c>
      <c r="M151" t="s">
        <v>2035</v>
      </c>
      <c r="N151" t="str">
        <f t="shared" si="4"/>
        <v>Pass</v>
      </c>
      <c r="O151" t="str">
        <f t="shared" si="5"/>
        <v>UnderAge</v>
      </c>
      <c r="P151" t="str" cm="1">
        <f t="array" ref="P151">_xlfn.IFS(K151&gt;90,"Excellent",K151&gt;80,"Very Good",K151&gt;70,"Good",K151&gt;=50,"Poor",K151&lt;50,"Fail")</f>
        <v>Excellent</v>
      </c>
    </row>
    <row r="152" spans="1:16" x14ac:dyDescent="0.25">
      <c r="A152" t="s">
        <v>161</v>
      </c>
      <c r="B152" t="s">
        <v>1161</v>
      </c>
      <c r="C152" t="s">
        <v>2076</v>
      </c>
      <c r="D152" t="s">
        <v>2498</v>
      </c>
      <c r="E152" t="s">
        <v>2007</v>
      </c>
      <c r="F152">
        <v>14</v>
      </c>
      <c r="G152" t="s">
        <v>2010</v>
      </c>
      <c r="H152" t="s">
        <v>2017</v>
      </c>
      <c r="I152" t="s">
        <v>2022</v>
      </c>
      <c r="J152" t="s">
        <v>2023</v>
      </c>
      <c r="K152">
        <v>64</v>
      </c>
      <c r="L152" t="s">
        <v>2031</v>
      </c>
      <c r="M152" t="s">
        <v>2035</v>
      </c>
      <c r="N152" t="str">
        <f t="shared" si="4"/>
        <v>Pass</v>
      </c>
      <c r="O152" t="str">
        <f t="shared" si="5"/>
        <v>UnderAge</v>
      </c>
      <c r="P152" t="str" cm="1">
        <f t="array" ref="P152">_xlfn.IFS(K152&gt;90,"Excellent",K152&gt;80,"Very Good",K152&gt;70,"Good",K152&gt;=50,"Poor",K152&lt;50,"Fail")</f>
        <v>Poor</v>
      </c>
    </row>
    <row r="153" spans="1:16" x14ac:dyDescent="0.25">
      <c r="A153" t="s">
        <v>162</v>
      </c>
      <c r="B153" t="s">
        <v>1162</v>
      </c>
      <c r="C153" t="s">
        <v>2177</v>
      </c>
      <c r="D153" t="s">
        <v>2509</v>
      </c>
      <c r="E153" t="s">
        <v>2008</v>
      </c>
      <c r="F153">
        <v>18</v>
      </c>
      <c r="G153" t="s">
        <v>2012</v>
      </c>
      <c r="H153" t="s">
        <v>2016</v>
      </c>
      <c r="I153" t="s">
        <v>2021</v>
      </c>
      <c r="J153" t="s">
        <v>2024</v>
      </c>
      <c r="K153">
        <v>14</v>
      </c>
      <c r="L153" t="s">
        <v>2025</v>
      </c>
      <c r="M153" t="s">
        <v>2036</v>
      </c>
      <c r="N153" t="str">
        <f t="shared" si="4"/>
        <v>Fail</v>
      </c>
      <c r="O153" t="str">
        <f t="shared" si="5"/>
        <v>Adult</v>
      </c>
      <c r="P153" t="str" cm="1">
        <f t="array" ref="P153">_xlfn.IFS(K153&gt;90,"Excellent",K153&gt;80,"Very Good",K153&gt;70,"Good",K153&gt;=50,"Poor",K153&lt;50,"Fail")</f>
        <v>Fail</v>
      </c>
    </row>
    <row r="154" spans="1:16" x14ac:dyDescent="0.25">
      <c r="A154" t="s">
        <v>163</v>
      </c>
      <c r="B154" t="s">
        <v>1163</v>
      </c>
      <c r="C154" t="s">
        <v>2178</v>
      </c>
      <c r="D154" t="s">
        <v>2219</v>
      </c>
      <c r="E154" t="s">
        <v>2007</v>
      </c>
      <c r="F154">
        <v>17</v>
      </c>
      <c r="G154" t="s">
        <v>2009</v>
      </c>
      <c r="H154" t="s">
        <v>2014</v>
      </c>
      <c r="I154" t="s">
        <v>2020</v>
      </c>
      <c r="J154" t="s">
        <v>2024</v>
      </c>
      <c r="K154">
        <v>39</v>
      </c>
      <c r="L154" t="s">
        <v>2030</v>
      </c>
      <c r="M154" t="s">
        <v>2036</v>
      </c>
      <c r="N154" t="str">
        <f t="shared" si="4"/>
        <v>Fail</v>
      </c>
      <c r="O154" t="str">
        <f t="shared" si="5"/>
        <v>UnderAge</v>
      </c>
      <c r="P154" t="str" cm="1">
        <f t="array" ref="P154">_xlfn.IFS(K154&gt;90,"Excellent",K154&gt;80,"Very Good",K154&gt;70,"Good",K154&gt;=50,"Poor",K154&lt;50,"Fail")</f>
        <v>Fail</v>
      </c>
    </row>
    <row r="155" spans="1:16" x14ac:dyDescent="0.25">
      <c r="A155" t="s">
        <v>164</v>
      </c>
      <c r="B155" t="s">
        <v>1164</v>
      </c>
      <c r="C155" t="s">
        <v>2179</v>
      </c>
      <c r="D155" t="s">
        <v>2510</v>
      </c>
      <c r="E155" t="s">
        <v>2007</v>
      </c>
      <c r="F155">
        <v>18</v>
      </c>
      <c r="G155" t="s">
        <v>2011</v>
      </c>
      <c r="H155" t="s">
        <v>2016</v>
      </c>
      <c r="I155" t="s">
        <v>2021</v>
      </c>
      <c r="J155" t="s">
        <v>2023</v>
      </c>
      <c r="K155">
        <v>64</v>
      </c>
      <c r="L155" t="s">
        <v>2026</v>
      </c>
      <c r="M155" t="s">
        <v>2035</v>
      </c>
      <c r="N155" t="str">
        <f t="shared" si="4"/>
        <v>Pass</v>
      </c>
      <c r="O155" t="str">
        <f t="shared" si="5"/>
        <v>Adult</v>
      </c>
      <c r="P155" t="str" cm="1">
        <f t="array" ref="P155">_xlfn.IFS(K155&gt;90,"Excellent",K155&gt;80,"Very Good",K155&gt;70,"Good",K155&gt;=50,"Poor",K155&lt;50,"Fail")</f>
        <v>Poor</v>
      </c>
    </row>
    <row r="156" spans="1:16" x14ac:dyDescent="0.25">
      <c r="A156" t="s">
        <v>165</v>
      </c>
      <c r="B156" t="s">
        <v>1165</v>
      </c>
      <c r="C156" t="s">
        <v>2180</v>
      </c>
      <c r="D156" t="s">
        <v>2056</v>
      </c>
      <c r="E156" t="s">
        <v>2008</v>
      </c>
      <c r="F156">
        <v>15</v>
      </c>
      <c r="G156" t="s">
        <v>2010</v>
      </c>
      <c r="H156" t="s">
        <v>2017</v>
      </c>
      <c r="I156" t="s">
        <v>2019</v>
      </c>
      <c r="J156" t="s">
        <v>2024</v>
      </c>
      <c r="K156">
        <v>86</v>
      </c>
      <c r="L156" t="s">
        <v>2031</v>
      </c>
      <c r="M156" t="s">
        <v>2035</v>
      </c>
      <c r="N156" t="str">
        <f t="shared" si="4"/>
        <v>Pass</v>
      </c>
      <c r="O156" t="str">
        <f t="shared" si="5"/>
        <v>UnderAge</v>
      </c>
      <c r="P156" t="str" cm="1">
        <f t="array" ref="P156">_xlfn.IFS(K156&gt;90,"Excellent",K156&gt;80,"Very Good",K156&gt;70,"Good",K156&gt;=50,"Poor",K156&lt;50,"Fail")</f>
        <v>Very Good</v>
      </c>
    </row>
    <row r="157" spans="1:16" x14ac:dyDescent="0.25">
      <c r="A157" t="s">
        <v>166</v>
      </c>
      <c r="B157" t="s">
        <v>1166</v>
      </c>
      <c r="C157" t="s">
        <v>2159</v>
      </c>
      <c r="D157" t="s">
        <v>2511</v>
      </c>
      <c r="E157" t="s">
        <v>2008</v>
      </c>
      <c r="F157">
        <v>14</v>
      </c>
      <c r="G157" t="s">
        <v>2009</v>
      </c>
      <c r="H157" t="s">
        <v>2015</v>
      </c>
      <c r="I157" t="s">
        <v>2021</v>
      </c>
      <c r="J157" t="s">
        <v>2024</v>
      </c>
      <c r="K157">
        <v>58</v>
      </c>
      <c r="L157" t="s">
        <v>2031</v>
      </c>
      <c r="M157" t="s">
        <v>2035</v>
      </c>
      <c r="N157" t="str">
        <f t="shared" si="4"/>
        <v>Pass</v>
      </c>
      <c r="O157" t="str">
        <f t="shared" si="5"/>
        <v>UnderAge</v>
      </c>
      <c r="P157" t="str" cm="1">
        <f t="array" ref="P157">_xlfn.IFS(K157&gt;90,"Excellent",K157&gt;80,"Very Good",K157&gt;70,"Good",K157&gt;=50,"Poor",K157&lt;50,"Fail")</f>
        <v>Poor</v>
      </c>
    </row>
    <row r="158" spans="1:16" x14ac:dyDescent="0.25">
      <c r="A158" t="s">
        <v>167</v>
      </c>
      <c r="B158" t="s">
        <v>1167</v>
      </c>
      <c r="C158" t="s">
        <v>2181</v>
      </c>
      <c r="D158" t="s">
        <v>2453</v>
      </c>
      <c r="E158" t="s">
        <v>2007</v>
      </c>
      <c r="F158">
        <v>18</v>
      </c>
      <c r="G158" t="s">
        <v>2013</v>
      </c>
      <c r="H158" t="s">
        <v>2017</v>
      </c>
      <c r="I158" t="s">
        <v>2022</v>
      </c>
      <c r="J158" t="s">
        <v>2024</v>
      </c>
      <c r="K158">
        <v>48</v>
      </c>
      <c r="L158" t="s">
        <v>2033</v>
      </c>
      <c r="M158" t="s">
        <v>2036</v>
      </c>
      <c r="N158" t="str">
        <f t="shared" si="4"/>
        <v>Fail</v>
      </c>
      <c r="O158" t="str">
        <f t="shared" si="5"/>
        <v>Adult</v>
      </c>
      <c r="P158" t="str" cm="1">
        <f t="array" ref="P158">_xlfn.IFS(K158&gt;90,"Excellent",K158&gt;80,"Very Good",K158&gt;70,"Good",K158&gt;=50,"Poor",K158&lt;50,"Fail")</f>
        <v>Fail</v>
      </c>
    </row>
    <row r="159" spans="1:16" x14ac:dyDescent="0.25">
      <c r="A159" t="s">
        <v>168</v>
      </c>
      <c r="B159" t="s">
        <v>1168</v>
      </c>
      <c r="C159" t="s">
        <v>2065</v>
      </c>
      <c r="D159" t="s">
        <v>2437</v>
      </c>
      <c r="E159" t="s">
        <v>2007</v>
      </c>
      <c r="F159">
        <v>16</v>
      </c>
      <c r="G159" t="s">
        <v>2012</v>
      </c>
      <c r="H159" t="s">
        <v>2017</v>
      </c>
      <c r="I159" t="s">
        <v>2019</v>
      </c>
      <c r="J159" t="s">
        <v>2023</v>
      </c>
      <c r="K159">
        <v>51</v>
      </c>
      <c r="L159" t="s">
        <v>2033</v>
      </c>
      <c r="M159" t="s">
        <v>2035</v>
      </c>
      <c r="N159" t="str">
        <f t="shared" si="4"/>
        <v>Pass</v>
      </c>
      <c r="O159" t="str">
        <f t="shared" si="5"/>
        <v>UnderAge</v>
      </c>
      <c r="P159" t="str" cm="1">
        <f t="array" ref="P159">_xlfn.IFS(K159&gt;90,"Excellent",K159&gt;80,"Very Good",K159&gt;70,"Good",K159&gt;=50,"Poor",K159&lt;50,"Fail")</f>
        <v>Poor</v>
      </c>
    </row>
    <row r="160" spans="1:16" x14ac:dyDescent="0.25">
      <c r="A160" t="s">
        <v>169</v>
      </c>
      <c r="B160" t="s">
        <v>1169</v>
      </c>
      <c r="C160" t="s">
        <v>2168</v>
      </c>
      <c r="D160" t="s">
        <v>2512</v>
      </c>
      <c r="E160" t="s">
        <v>2007</v>
      </c>
      <c r="F160">
        <v>16</v>
      </c>
      <c r="G160" t="s">
        <v>2009</v>
      </c>
      <c r="H160" t="s">
        <v>2017</v>
      </c>
      <c r="I160" t="s">
        <v>2022</v>
      </c>
      <c r="J160" t="s">
        <v>2023</v>
      </c>
      <c r="K160">
        <v>60</v>
      </c>
      <c r="L160" t="s">
        <v>2031</v>
      </c>
      <c r="M160" t="s">
        <v>2035</v>
      </c>
      <c r="N160" t="str">
        <f t="shared" si="4"/>
        <v>Pass</v>
      </c>
      <c r="O160" t="str">
        <f t="shared" si="5"/>
        <v>UnderAge</v>
      </c>
      <c r="P160" t="str" cm="1">
        <f t="array" ref="P160">_xlfn.IFS(K160&gt;90,"Excellent",K160&gt;80,"Very Good",K160&gt;70,"Good",K160&gt;=50,"Poor",K160&lt;50,"Fail")</f>
        <v>Poor</v>
      </c>
    </row>
    <row r="161" spans="1:16" x14ac:dyDescent="0.25">
      <c r="A161" t="s">
        <v>170</v>
      </c>
      <c r="B161" t="s">
        <v>1170</v>
      </c>
      <c r="C161" t="s">
        <v>2182</v>
      </c>
      <c r="D161" t="s">
        <v>2513</v>
      </c>
      <c r="E161" t="s">
        <v>2008</v>
      </c>
      <c r="F161">
        <v>14</v>
      </c>
      <c r="G161" t="s">
        <v>2010</v>
      </c>
      <c r="H161" t="s">
        <v>2016</v>
      </c>
      <c r="I161" t="s">
        <v>2021</v>
      </c>
      <c r="J161" t="s">
        <v>2023</v>
      </c>
      <c r="K161">
        <v>19</v>
      </c>
      <c r="L161" t="s">
        <v>2027</v>
      </c>
      <c r="M161" t="s">
        <v>2036</v>
      </c>
      <c r="N161" t="str">
        <f t="shared" si="4"/>
        <v>Fail</v>
      </c>
      <c r="O161" t="str">
        <f t="shared" si="5"/>
        <v>UnderAge</v>
      </c>
      <c r="P161" t="str" cm="1">
        <f t="array" ref="P161">_xlfn.IFS(K161&gt;90,"Excellent",K161&gt;80,"Very Good",K161&gt;70,"Good",K161&gt;=50,"Poor",K161&lt;50,"Fail")</f>
        <v>Fail</v>
      </c>
    </row>
    <row r="162" spans="1:16" x14ac:dyDescent="0.25">
      <c r="A162" t="s">
        <v>171</v>
      </c>
      <c r="B162" t="s">
        <v>1171</v>
      </c>
      <c r="C162" t="s">
        <v>2157</v>
      </c>
      <c r="D162" t="s">
        <v>2514</v>
      </c>
      <c r="E162" t="s">
        <v>2008</v>
      </c>
      <c r="F162">
        <v>14</v>
      </c>
      <c r="G162" t="s">
        <v>2010</v>
      </c>
      <c r="H162" t="s">
        <v>2015</v>
      </c>
      <c r="I162" t="s">
        <v>2021</v>
      </c>
      <c r="J162" t="s">
        <v>2023</v>
      </c>
      <c r="K162">
        <v>4</v>
      </c>
      <c r="L162" t="s">
        <v>2027</v>
      </c>
      <c r="M162" t="s">
        <v>2036</v>
      </c>
      <c r="N162" t="str">
        <f t="shared" si="4"/>
        <v>Fail</v>
      </c>
      <c r="O162" t="str">
        <f t="shared" si="5"/>
        <v>UnderAge</v>
      </c>
      <c r="P162" t="str" cm="1">
        <f t="array" ref="P162">_xlfn.IFS(K162&gt;90,"Excellent",K162&gt;80,"Very Good",K162&gt;70,"Good",K162&gt;=50,"Poor",K162&lt;50,"Fail")</f>
        <v>Fail</v>
      </c>
    </row>
    <row r="163" spans="1:16" x14ac:dyDescent="0.25">
      <c r="A163" t="s">
        <v>172</v>
      </c>
      <c r="B163" t="s">
        <v>1172</v>
      </c>
      <c r="C163" t="s">
        <v>2183</v>
      </c>
      <c r="D163" t="s">
        <v>2515</v>
      </c>
      <c r="E163" t="s">
        <v>2008</v>
      </c>
      <c r="F163">
        <v>16</v>
      </c>
      <c r="G163" t="s">
        <v>2012</v>
      </c>
      <c r="H163" t="s">
        <v>2017</v>
      </c>
      <c r="I163" t="s">
        <v>2018</v>
      </c>
      <c r="J163" t="s">
        <v>2023</v>
      </c>
      <c r="K163">
        <v>72</v>
      </c>
      <c r="L163" t="s">
        <v>2033</v>
      </c>
      <c r="M163" t="s">
        <v>2035</v>
      </c>
      <c r="N163" t="str">
        <f t="shared" si="4"/>
        <v>Pass</v>
      </c>
      <c r="O163" t="str">
        <f t="shared" si="5"/>
        <v>UnderAge</v>
      </c>
      <c r="P163" t="str" cm="1">
        <f t="array" ref="P163">_xlfn.IFS(K163&gt;90,"Excellent",K163&gt;80,"Very Good",K163&gt;70,"Good",K163&gt;=50,"Poor",K163&lt;50,"Fail")</f>
        <v>Good</v>
      </c>
    </row>
    <row r="164" spans="1:16" x14ac:dyDescent="0.25">
      <c r="A164" t="s">
        <v>173</v>
      </c>
      <c r="B164" t="s">
        <v>1173</v>
      </c>
      <c r="C164" t="s">
        <v>2184</v>
      </c>
      <c r="D164" t="s">
        <v>2516</v>
      </c>
      <c r="E164" t="s">
        <v>2007</v>
      </c>
      <c r="F164">
        <v>16</v>
      </c>
      <c r="G164" t="s">
        <v>2011</v>
      </c>
      <c r="H164" t="s">
        <v>2017</v>
      </c>
      <c r="I164" t="s">
        <v>2019</v>
      </c>
      <c r="J164" t="s">
        <v>2023</v>
      </c>
      <c r="K164">
        <v>28</v>
      </c>
      <c r="L164" t="s">
        <v>2027</v>
      </c>
      <c r="M164" t="s">
        <v>2036</v>
      </c>
      <c r="N164" t="str">
        <f t="shared" si="4"/>
        <v>Fail</v>
      </c>
      <c r="O164" t="str">
        <f t="shared" si="5"/>
        <v>UnderAge</v>
      </c>
      <c r="P164" t="str" cm="1">
        <f t="array" ref="P164">_xlfn.IFS(K164&gt;90,"Excellent",K164&gt;80,"Very Good",K164&gt;70,"Good",K164&gt;=50,"Poor",K164&lt;50,"Fail")</f>
        <v>Fail</v>
      </c>
    </row>
    <row r="165" spans="1:16" x14ac:dyDescent="0.25">
      <c r="A165" t="s">
        <v>174</v>
      </c>
      <c r="B165" t="s">
        <v>1174</v>
      </c>
      <c r="C165" t="s">
        <v>2109</v>
      </c>
      <c r="D165" t="s">
        <v>2056</v>
      </c>
      <c r="E165" t="s">
        <v>2007</v>
      </c>
      <c r="F165">
        <v>17</v>
      </c>
      <c r="G165" t="s">
        <v>2010</v>
      </c>
      <c r="H165" t="s">
        <v>2016</v>
      </c>
      <c r="I165" t="s">
        <v>2019</v>
      </c>
      <c r="J165" t="s">
        <v>2024</v>
      </c>
      <c r="K165">
        <v>50</v>
      </c>
      <c r="L165" t="s">
        <v>2028</v>
      </c>
      <c r="M165" t="s">
        <v>2035</v>
      </c>
      <c r="N165" t="str">
        <f t="shared" si="4"/>
        <v>Pass</v>
      </c>
      <c r="O165" t="str">
        <f t="shared" si="5"/>
        <v>UnderAge</v>
      </c>
      <c r="P165" t="str" cm="1">
        <f t="array" ref="P165">_xlfn.IFS(K165&gt;90,"Excellent",K165&gt;80,"Very Good",K165&gt;70,"Good",K165&gt;=50,"Poor",K165&lt;50,"Fail")</f>
        <v>Poor</v>
      </c>
    </row>
    <row r="166" spans="1:16" x14ac:dyDescent="0.25">
      <c r="A166" t="s">
        <v>175</v>
      </c>
      <c r="B166" t="s">
        <v>1175</v>
      </c>
      <c r="C166" t="s">
        <v>2185</v>
      </c>
      <c r="D166" t="s">
        <v>2517</v>
      </c>
      <c r="E166" t="s">
        <v>2008</v>
      </c>
      <c r="F166">
        <v>14</v>
      </c>
      <c r="G166" t="s">
        <v>2010</v>
      </c>
      <c r="H166" t="s">
        <v>2015</v>
      </c>
      <c r="I166" t="s">
        <v>2020</v>
      </c>
      <c r="J166" t="s">
        <v>2023</v>
      </c>
      <c r="K166">
        <v>99</v>
      </c>
      <c r="L166" t="s">
        <v>2034</v>
      </c>
      <c r="M166" t="s">
        <v>2035</v>
      </c>
      <c r="N166" t="str">
        <f t="shared" si="4"/>
        <v>Pass</v>
      </c>
      <c r="O166" t="str">
        <f t="shared" si="5"/>
        <v>UnderAge</v>
      </c>
      <c r="P166" t="str" cm="1">
        <f t="array" ref="P166">_xlfn.IFS(K166&gt;90,"Excellent",K166&gt;80,"Very Good",K166&gt;70,"Good",K166&gt;=50,"Poor",K166&lt;50,"Fail")</f>
        <v>Excellent</v>
      </c>
    </row>
    <row r="167" spans="1:16" x14ac:dyDescent="0.25">
      <c r="A167" t="s">
        <v>176</v>
      </c>
      <c r="B167" t="s">
        <v>1176</v>
      </c>
      <c r="C167" t="s">
        <v>2149</v>
      </c>
      <c r="D167" t="s">
        <v>2518</v>
      </c>
      <c r="E167" t="s">
        <v>2007</v>
      </c>
      <c r="F167">
        <v>17</v>
      </c>
      <c r="G167" t="s">
        <v>2011</v>
      </c>
      <c r="H167" t="s">
        <v>2015</v>
      </c>
      <c r="I167" t="s">
        <v>2018</v>
      </c>
      <c r="J167" t="s">
        <v>2024</v>
      </c>
      <c r="K167">
        <v>18</v>
      </c>
      <c r="L167" t="s">
        <v>2027</v>
      </c>
      <c r="M167" t="s">
        <v>2036</v>
      </c>
      <c r="N167" t="str">
        <f t="shared" si="4"/>
        <v>Fail</v>
      </c>
      <c r="O167" t="str">
        <f t="shared" si="5"/>
        <v>UnderAge</v>
      </c>
      <c r="P167" t="str" cm="1">
        <f t="array" ref="P167">_xlfn.IFS(K167&gt;90,"Excellent",K167&gt;80,"Very Good",K167&gt;70,"Good",K167&gt;=50,"Poor",K167&lt;50,"Fail")</f>
        <v>Fail</v>
      </c>
    </row>
    <row r="168" spans="1:16" x14ac:dyDescent="0.25">
      <c r="A168" t="s">
        <v>177</v>
      </c>
      <c r="B168" t="s">
        <v>1177</v>
      </c>
      <c r="C168" t="s">
        <v>2186</v>
      </c>
      <c r="D168" t="s">
        <v>2519</v>
      </c>
      <c r="E168" t="s">
        <v>2008</v>
      </c>
      <c r="F168">
        <v>17</v>
      </c>
      <c r="G168" t="s">
        <v>2012</v>
      </c>
      <c r="H168" t="s">
        <v>2015</v>
      </c>
      <c r="I168" t="s">
        <v>2022</v>
      </c>
      <c r="J168" t="s">
        <v>2024</v>
      </c>
      <c r="K168">
        <v>47</v>
      </c>
      <c r="L168" t="s">
        <v>2026</v>
      </c>
      <c r="M168" t="s">
        <v>2036</v>
      </c>
      <c r="N168" t="str">
        <f t="shared" si="4"/>
        <v>Fail</v>
      </c>
      <c r="O168" t="str">
        <f t="shared" si="5"/>
        <v>UnderAge</v>
      </c>
      <c r="P168" t="str" cm="1">
        <f t="array" ref="P168">_xlfn.IFS(K168&gt;90,"Excellent",K168&gt;80,"Very Good",K168&gt;70,"Good",K168&gt;=50,"Poor",K168&lt;50,"Fail")</f>
        <v>Fail</v>
      </c>
    </row>
    <row r="169" spans="1:16" x14ac:dyDescent="0.25">
      <c r="A169" t="s">
        <v>178</v>
      </c>
      <c r="B169" t="s">
        <v>1178</v>
      </c>
      <c r="C169" t="s">
        <v>2100</v>
      </c>
      <c r="D169" t="s">
        <v>2520</v>
      </c>
      <c r="E169" t="s">
        <v>2008</v>
      </c>
      <c r="F169">
        <v>17</v>
      </c>
      <c r="G169" t="s">
        <v>2011</v>
      </c>
      <c r="H169" t="s">
        <v>2015</v>
      </c>
      <c r="I169" t="s">
        <v>2021</v>
      </c>
      <c r="J169" t="s">
        <v>2023</v>
      </c>
      <c r="K169">
        <v>6</v>
      </c>
      <c r="L169" t="s">
        <v>2028</v>
      </c>
      <c r="M169" t="s">
        <v>2036</v>
      </c>
      <c r="N169" t="str">
        <f t="shared" si="4"/>
        <v>Fail</v>
      </c>
      <c r="O169" t="str">
        <f t="shared" si="5"/>
        <v>UnderAge</v>
      </c>
      <c r="P169" t="str" cm="1">
        <f t="array" ref="P169">_xlfn.IFS(K169&gt;90,"Excellent",K169&gt;80,"Very Good",K169&gt;70,"Good",K169&gt;=50,"Poor",K169&lt;50,"Fail")</f>
        <v>Fail</v>
      </c>
    </row>
    <row r="170" spans="1:16" x14ac:dyDescent="0.25">
      <c r="A170" t="s">
        <v>179</v>
      </c>
      <c r="B170" t="s">
        <v>1179</v>
      </c>
      <c r="C170" t="s">
        <v>2187</v>
      </c>
      <c r="D170" t="s">
        <v>2521</v>
      </c>
      <c r="E170" t="s">
        <v>2008</v>
      </c>
      <c r="F170">
        <v>18</v>
      </c>
      <c r="G170" t="s">
        <v>2011</v>
      </c>
      <c r="H170" t="s">
        <v>2016</v>
      </c>
      <c r="I170" t="s">
        <v>2020</v>
      </c>
      <c r="J170" t="s">
        <v>2024</v>
      </c>
      <c r="K170">
        <v>70</v>
      </c>
      <c r="L170" t="s">
        <v>2025</v>
      </c>
      <c r="M170" t="s">
        <v>2035</v>
      </c>
      <c r="N170" t="str">
        <f t="shared" si="4"/>
        <v>Pass</v>
      </c>
      <c r="O170" t="str">
        <f t="shared" si="5"/>
        <v>Adult</v>
      </c>
      <c r="P170" t="str" cm="1">
        <f t="array" ref="P170">_xlfn.IFS(K170&gt;90,"Excellent",K170&gt;80,"Very Good",K170&gt;70,"Good",K170&gt;=50,"Poor",K170&lt;50,"Fail")</f>
        <v>Poor</v>
      </c>
    </row>
    <row r="171" spans="1:16" x14ac:dyDescent="0.25">
      <c r="A171" t="s">
        <v>180</v>
      </c>
      <c r="B171" t="s">
        <v>1180</v>
      </c>
      <c r="C171" t="s">
        <v>2138</v>
      </c>
      <c r="D171" t="s">
        <v>2522</v>
      </c>
      <c r="E171" t="s">
        <v>2007</v>
      </c>
      <c r="F171">
        <v>15</v>
      </c>
      <c r="G171" t="s">
        <v>2009</v>
      </c>
      <c r="H171" t="s">
        <v>2017</v>
      </c>
      <c r="I171" t="s">
        <v>2020</v>
      </c>
      <c r="J171" t="s">
        <v>2024</v>
      </c>
      <c r="K171">
        <v>8</v>
      </c>
      <c r="L171" t="s">
        <v>2025</v>
      </c>
      <c r="M171" t="s">
        <v>2036</v>
      </c>
      <c r="N171" t="str">
        <f t="shared" si="4"/>
        <v>Fail</v>
      </c>
      <c r="O171" t="str">
        <f t="shared" si="5"/>
        <v>UnderAge</v>
      </c>
      <c r="P171" t="str" cm="1">
        <f t="array" ref="P171">_xlfn.IFS(K171&gt;90,"Excellent",K171&gt;80,"Very Good",K171&gt;70,"Good",K171&gt;=50,"Poor",K171&lt;50,"Fail")</f>
        <v>Fail</v>
      </c>
    </row>
    <row r="172" spans="1:16" x14ac:dyDescent="0.25">
      <c r="A172" t="s">
        <v>181</v>
      </c>
      <c r="B172" t="s">
        <v>1181</v>
      </c>
      <c r="C172" t="s">
        <v>2188</v>
      </c>
      <c r="D172" t="s">
        <v>2459</v>
      </c>
      <c r="E172" t="s">
        <v>2007</v>
      </c>
      <c r="F172">
        <v>16</v>
      </c>
      <c r="G172" t="s">
        <v>2012</v>
      </c>
      <c r="H172" t="s">
        <v>2017</v>
      </c>
      <c r="I172" t="s">
        <v>2019</v>
      </c>
      <c r="J172" t="s">
        <v>2023</v>
      </c>
      <c r="K172">
        <v>14</v>
      </c>
      <c r="L172" t="s">
        <v>2029</v>
      </c>
      <c r="M172" t="s">
        <v>2036</v>
      </c>
      <c r="N172" t="str">
        <f t="shared" si="4"/>
        <v>Fail</v>
      </c>
      <c r="O172" t="str">
        <f t="shared" si="5"/>
        <v>UnderAge</v>
      </c>
      <c r="P172" t="str" cm="1">
        <f t="array" ref="P172">_xlfn.IFS(K172&gt;90,"Excellent",K172&gt;80,"Very Good",K172&gt;70,"Good",K172&gt;=50,"Poor",K172&lt;50,"Fail")</f>
        <v>Fail</v>
      </c>
    </row>
    <row r="173" spans="1:16" x14ac:dyDescent="0.25">
      <c r="A173" t="s">
        <v>182</v>
      </c>
      <c r="B173" t="s">
        <v>1182</v>
      </c>
      <c r="C173" t="s">
        <v>2071</v>
      </c>
      <c r="D173" t="s">
        <v>2523</v>
      </c>
      <c r="E173" t="s">
        <v>2008</v>
      </c>
      <c r="F173">
        <v>15</v>
      </c>
      <c r="G173" t="s">
        <v>2010</v>
      </c>
      <c r="H173" t="s">
        <v>2015</v>
      </c>
      <c r="I173" t="s">
        <v>2021</v>
      </c>
      <c r="J173" t="s">
        <v>2023</v>
      </c>
      <c r="K173">
        <v>52</v>
      </c>
      <c r="L173" t="s">
        <v>2025</v>
      </c>
      <c r="M173" t="s">
        <v>2035</v>
      </c>
      <c r="N173" t="str">
        <f t="shared" si="4"/>
        <v>Pass</v>
      </c>
      <c r="O173" t="str">
        <f t="shared" si="5"/>
        <v>UnderAge</v>
      </c>
      <c r="P173" t="str" cm="1">
        <f t="array" ref="P173">_xlfn.IFS(K173&gt;90,"Excellent",K173&gt;80,"Very Good",K173&gt;70,"Good",K173&gt;=50,"Poor",K173&lt;50,"Fail")</f>
        <v>Poor</v>
      </c>
    </row>
    <row r="174" spans="1:16" x14ac:dyDescent="0.25">
      <c r="A174" t="s">
        <v>183</v>
      </c>
      <c r="B174" t="s">
        <v>1183</v>
      </c>
      <c r="C174" t="s">
        <v>2069</v>
      </c>
      <c r="D174" t="s">
        <v>2524</v>
      </c>
      <c r="E174" t="s">
        <v>2008</v>
      </c>
      <c r="F174">
        <v>17</v>
      </c>
      <c r="G174" t="s">
        <v>2012</v>
      </c>
      <c r="H174" t="s">
        <v>2015</v>
      </c>
      <c r="I174" t="s">
        <v>2021</v>
      </c>
      <c r="J174" t="s">
        <v>2023</v>
      </c>
      <c r="K174">
        <v>56</v>
      </c>
      <c r="L174" t="s">
        <v>2031</v>
      </c>
      <c r="M174" t="s">
        <v>2035</v>
      </c>
      <c r="N174" t="str">
        <f t="shared" si="4"/>
        <v>Pass</v>
      </c>
      <c r="O174" t="str">
        <f t="shared" si="5"/>
        <v>UnderAge</v>
      </c>
      <c r="P174" t="str" cm="1">
        <f t="array" ref="P174">_xlfn.IFS(K174&gt;90,"Excellent",K174&gt;80,"Very Good",K174&gt;70,"Good",K174&gt;=50,"Poor",K174&lt;50,"Fail")</f>
        <v>Poor</v>
      </c>
    </row>
    <row r="175" spans="1:16" x14ac:dyDescent="0.25">
      <c r="A175" t="s">
        <v>184</v>
      </c>
      <c r="B175" t="s">
        <v>1184</v>
      </c>
      <c r="C175" t="s">
        <v>2100</v>
      </c>
      <c r="D175" t="s">
        <v>2525</v>
      </c>
      <c r="E175" t="s">
        <v>2008</v>
      </c>
      <c r="F175">
        <v>16</v>
      </c>
      <c r="G175" t="s">
        <v>2009</v>
      </c>
      <c r="H175" t="s">
        <v>2017</v>
      </c>
      <c r="I175" t="s">
        <v>2020</v>
      </c>
      <c r="J175" t="s">
        <v>2024</v>
      </c>
      <c r="K175">
        <v>50</v>
      </c>
      <c r="L175" t="s">
        <v>2031</v>
      </c>
      <c r="M175" t="s">
        <v>2035</v>
      </c>
      <c r="N175" t="str">
        <f t="shared" si="4"/>
        <v>Pass</v>
      </c>
      <c r="O175" t="str">
        <f t="shared" si="5"/>
        <v>UnderAge</v>
      </c>
      <c r="P175" t="str" cm="1">
        <f t="array" ref="P175">_xlfn.IFS(K175&gt;90,"Excellent",K175&gt;80,"Very Good",K175&gt;70,"Good",K175&gt;=50,"Poor",K175&lt;50,"Fail")</f>
        <v>Poor</v>
      </c>
    </row>
    <row r="176" spans="1:16" x14ac:dyDescent="0.25">
      <c r="A176" t="s">
        <v>185</v>
      </c>
      <c r="B176" t="s">
        <v>1185</v>
      </c>
      <c r="C176" t="s">
        <v>2189</v>
      </c>
      <c r="D176" t="s">
        <v>2526</v>
      </c>
      <c r="E176" t="s">
        <v>2008</v>
      </c>
      <c r="F176">
        <v>16</v>
      </c>
      <c r="G176" t="s">
        <v>2009</v>
      </c>
      <c r="H176" t="s">
        <v>2015</v>
      </c>
      <c r="I176" t="s">
        <v>2019</v>
      </c>
      <c r="J176" t="s">
        <v>2023</v>
      </c>
      <c r="K176">
        <v>9</v>
      </c>
      <c r="L176" t="s">
        <v>2025</v>
      </c>
      <c r="M176" t="s">
        <v>2036</v>
      </c>
      <c r="N176" t="str">
        <f t="shared" si="4"/>
        <v>Fail</v>
      </c>
      <c r="O176" t="str">
        <f t="shared" si="5"/>
        <v>UnderAge</v>
      </c>
      <c r="P176" t="str" cm="1">
        <f t="array" ref="P176">_xlfn.IFS(K176&gt;90,"Excellent",K176&gt;80,"Very Good",K176&gt;70,"Good",K176&gt;=50,"Poor",K176&lt;50,"Fail")</f>
        <v>Fail</v>
      </c>
    </row>
    <row r="177" spans="1:16" x14ac:dyDescent="0.25">
      <c r="A177" t="s">
        <v>186</v>
      </c>
      <c r="B177" t="s">
        <v>1186</v>
      </c>
      <c r="C177" t="s">
        <v>2178</v>
      </c>
      <c r="D177" t="s">
        <v>2056</v>
      </c>
      <c r="E177" t="s">
        <v>2007</v>
      </c>
      <c r="F177">
        <v>18</v>
      </c>
      <c r="G177" t="s">
        <v>2009</v>
      </c>
      <c r="H177" t="s">
        <v>2015</v>
      </c>
      <c r="I177" t="s">
        <v>2022</v>
      </c>
      <c r="J177" t="s">
        <v>2023</v>
      </c>
      <c r="K177">
        <v>23</v>
      </c>
      <c r="L177" t="s">
        <v>2028</v>
      </c>
      <c r="M177" t="s">
        <v>2036</v>
      </c>
      <c r="N177" t="str">
        <f t="shared" si="4"/>
        <v>Fail</v>
      </c>
      <c r="O177" t="str">
        <f t="shared" si="5"/>
        <v>Adult</v>
      </c>
      <c r="P177" t="str" cm="1">
        <f t="array" ref="P177">_xlfn.IFS(K177&gt;90,"Excellent",K177&gt;80,"Very Good",K177&gt;70,"Good",K177&gt;=50,"Poor",K177&lt;50,"Fail")</f>
        <v>Fail</v>
      </c>
    </row>
    <row r="178" spans="1:16" x14ac:dyDescent="0.25">
      <c r="A178" t="s">
        <v>187</v>
      </c>
      <c r="B178" t="s">
        <v>1187</v>
      </c>
      <c r="C178" t="s">
        <v>2190</v>
      </c>
      <c r="D178" t="s">
        <v>2527</v>
      </c>
      <c r="E178" t="s">
        <v>2007</v>
      </c>
      <c r="F178">
        <v>18</v>
      </c>
      <c r="G178" t="s">
        <v>2011</v>
      </c>
      <c r="H178" t="s">
        <v>2016</v>
      </c>
      <c r="I178" t="s">
        <v>2021</v>
      </c>
      <c r="J178" t="s">
        <v>2024</v>
      </c>
      <c r="K178">
        <v>18</v>
      </c>
      <c r="L178" t="s">
        <v>2031</v>
      </c>
      <c r="M178" t="s">
        <v>2036</v>
      </c>
      <c r="N178" t="str">
        <f t="shared" si="4"/>
        <v>Fail</v>
      </c>
      <c r="O178" t="str">
        <f t="shared" si="5"/>
        <v>Adult</v>
      </c>
      <c r="P178" t="str" cm="1">
        <f t="array" ref="P178">_xlfn.IFS(K178&gt;90,"Excellent",K178&gt;80,"Very Good",K178&gt;70,"Good",K178&gt;=50,"Poor",K178&lt;50,"Fail")</f>
        <v>Fail</v>
      </c>
    </row>
    <row r="179" spans="1:16" x14ac:dyDescent="0.25">
      <c r="A179" t="s">
        <v>188</v>
      </c>
      <c r="B179" t="s">
        <v>1188</v>
      </c>
      <c r="C179" t="s">
        <v>2191</v>
      </c>
      <c r="D179" t="s">
        <v>2482</v>
      </c>
      <c r="E179" t="s">
        <v>2007</v>
      </c>
      <c r="F179">
        <v>18</v>
      </c>
      <c r="G179" t="s">
        <v>2011</v>
      </c>
      <c r="H179" t="s">
        <v>2014</v>
      </c>
      <c r="I179" t="s">
        <v>2019</v>
      </c>
      <c r="J179" t="s">
        <v>2024</v>
      </c>
      <c r="K179">
        <v>3</v>
      </c>
      <c r="L179" t="s">
        <v>2026</v>
      </c>
      <c r="M179" t="s">
        <v>2036</v>
      </c>
      <c r="N179" t="str">
        <f t="shared" si="4"/>
        <v>Fail</v>
      </c>
      <c r="O179" t="str">
        <f t="shared" si="5"/>
        <v>Adult</v>
      </c>
      <c r="P179" t="str" cm="1">
        <f t="array" ref="P179">_xlfn.IFS(K179&gt;90,"Excellent",K179&gt;80,"Very Good",K179&gt;70,"Good",K179&gt;=50,"Poor",K179&lt;50,"Fail")</f>
        <v>Fail</v>
      </c>
    </row>
    <row r="180" spans="1:16" x14ac:dyDescent="0.25">
      <c r="A180" t="s">
        <v>189</v>
      </c>
      <c r="B180" t="s">
        <v>1189</v>
      </c>
      <c r="C180" t="s">
        <v>2065</v>
      </c>
      <c r="D180" t="s">
        <v>2046</v>
      </c>
      <c r="E180" t="s">
        <v>2008</v>
      </c>
      <c r="F180">
        <v>15</v>
      </c>
      <c r="G180" t="s">
        <v>2013</v>
      </c>
      <c r="H180" t="s">
        <v>2014</v>
      </c>
      <c r="I180" t="s">
        <v>2021</v>
      </c>
      <c r="J180" t="s">
        <v>2024</v>
      </c>
      <c r="K180">
        <v>35</v>
      </c>
      <c r="L180" t="s">
        <v>2028</v>
      </c>
      <c r="M180" t="s">
        <v>2036</v>
      </c>
      <c r="N180" t="str">
        <f t="shared" si="4"/>
        <v>Fail</v>
      </c>
      <c r="O180" t="str">
        <f t="shared" si="5"/>
        <v>UnderAge</v>
      </c>
      <c r="P180" t="str" cm="1">
        <f t="array" ref="P180">_xlfn.IFS(K180&gt;90,"Excellent",K180&gt;80,"Very Good",K180&gt;70,"Good",K180&gt;=50,"Poor",K180&lt;50,"Fail")</f>
        <v>Fail</v>
      </c>
    </row>
    <row r="181" spans="1:16" x14ac:dyDescent="0.25">
      <c r="A181" t="s">
        <v>190</v>
      </c>
      <c r="B181" t="s">
        <v>1190</v>
      </c>
      <c r="C181" t="s">
        <v>2104</v>
      </c>
      <c r="D181" t="s">
        <v>2528</v>
      </c>
      <c r="E181" t="s">
        <v>2008</v>
      </c>
      <c r="F181">
        <v>14</v>
      </c>
      <c r="G181" t="s">
        <v>2010</v>
      </c>
      <c r="H181" t="s">
        <v>2017</v>
      </c>
      <c r="I181" t="s">
        <v>2021</v>
      </c>
      <c r="J181" t="s">
        <v>2023</v>
      </c>
      <c r="K181">
        <v>77</v>
      </c>
      <c r="L181" t="s">
        <v>2030</v>
      </c>
      <c r="M181" t="s">
        <v>2035</v>
      </c>
      <c r="N181" t="str">
        <f t="shared" si="4"/>
        <v>Pass</v>
      </c>
      <c r="O181" t="str">
        <f t="shared" si="5"/>
        <v>UnderAge</v>
      </c>
      <c r="P181" t="str" cm="1">
        <f t="array" ref="P181">_xlfn.IFS(K181&gt;90,"Excellent",K181&gt;80,"Very Good",K181&gt;70,"Good",K181&gt;=50,"Poor",K181&lt;50,"Fail")</f>
        <v>Good</v>
      </c>
    </row>
    <row r="182" spans="1:16" x14ac:dyDescent="0.25">
      <c r="A182" t="s">
        <v>191</v>
      </c>
      <c r="B182" t="s">
        <v>1191</v>
      </c>
      <c r="C182" t="s">
        <v>2065</v>
      </c>
      <c r="D182" t="s">
        <v>2529</v>
      </c>
      <c r="E182" t="s">
        <v>2007</v>
      </c>
      <c r="F182">
        <v>16</v>
      </c>
      <c r="G182" t="s">
        <v>2013</v>
      </c>
      <c r="H182" t="s">
        <v>2014</v>
      </c>
      <c r="I182" t="s">
        <v>2018</v>
      </c>
      <c r="J182" t="s">
        <v>2024</v>
      </c>
      <c r="K182">
        <v>86</v>
      </c>
      <c r="L182" t="s">
        <v>2028</v>
      </c>
      <c r="M182" t="s">
        <v>2035</v>
      </c>
      <c r="N182" t="str">
        <f t="shared" si="4"/>
        <v>Pass</v>
      </c>
      <c r="O182" t="str">
        <f t="shared" si="5"/>
        <v>UnderAge</v>
      </c>
      <c r="P182" t="str" cm="1">
        <f t="array" ref="P182">_xlfn.IFS(K182&gt;90,"Excellent",K182&gt;80,"Very Good",K182&gt;70,"Good",K182&gt;=50,"Poor",K182&lt;50,"Fail")</f>
        <v>Very Good</v>
      </c>
    </row>
    <row r="183" spans="1:16" x14ac:dyDescent="0.25">
      <c r="A183" t="s">
        <v>192</v>
      </c>
      <c r="B183" t="s">
        <v>1192</v>
      </c>
      <c r="C183" t="s">
        <v>2192</v>
      </c>
      <c r="D183" t="s">
        <v>2530</v>
      </c>
      <c r="E183" t="s">
        <v>2007</v>
      </c>
      <c r="F183">
        <v>16</v>
      </c>
      <c r="G183" t="s">
        <v>2012</v>
      </c>
      <c r="H183" t="s">
        <v>2017</v>
      </c>
      <c r="I183" t="s">
        <v>2020</v>
      </c>
      <c r="J183" t="s">
        <v>2024</v>
      </c>
      <c r="K183">
        <v>92</v>
      </c>
      <c r="L183" t="s">
        <v>2030</v>
      </c>
      <c r="M183" t="s">
        <v>2035</v>
      </c>
      <c r="N183" t="str">
        <f t="shared" si="4"/>
        <v>Pass</v>
      </c>
      <c r="O183" t="str">
        <f t="shared" si="5"/>
        <v>UnderAge</v>
      </c>
      <c r="P183" t="str" cm="1">
        <f t="array" ref="P183">_xlfn.IFS(K183&gt;90,"Excellent",K183&gt;80,"Very Good",K183&gt;70,"Good",K183&gt;=50,"Poor",K183&lt;50,"Fail")</f>
        <v>Excellent</v>
      </c>
    </row>
    <row r="184" spans="1:16" x14ac:dyDescent="0.25">
      <c r="A184" t="s">
        <v>193</v>
      </c>
      <c r="B184" t="s">
        <v>1193</v>
      </c>
      <c r="C184" t="s">
        <v>2157</v>
      </c>
      <c r="D184" t="s">
        <v>2531</v>
      </c>
      <c r="E184" t="s">
        <v>2008</v>
      </c>
      <c r="F184">
        <v>16</v>
      </c>
      <c r="G184" t="s">
        <v>2010</v>
      </c>
      <c r="H184" t="s">
        <v>2014</v>
      </c>
      <c r="I184" t="s">
        <v>2019</v>
      </c>
      <c r="J184" t="s">
        <v>2023</v>
      </c>
      <c r="K184">
        <v>32</v>
      </c>
      <c r="L184" t="s">
        <v>2030</v>
      </c>
      <c r="M184" t="s">
        <v>2036</v>
      </c>
      <c r="N184" t="str">
        <f t="shared" si="4"/>
        <v>Fail</v>
      </c>
      <c r="O184" t="str">
        <f t="shared" si="5"/>
        <v>UnderAge</v>
      </c>
      <c r="P184" t="str" cm="1">
        <f t="array" ref="P184">_xlfn.IFS(K184&gt;90,"Excellent",K184&gt;80,"Very Good",K184&gt;70,"Good",K184&gt;=50,"Poor",K184&lt;50,"Fail")</f>
        <v>Fail</v>
      </c>
    </row>
    <row r="185" spans="1:16" x14ac:dyDescent="0.25">
      <c r="A185" t="s">
        <v>194</v>
      </c>
      <c r="B185" t="s">
        <v>1194</v>
      </c>
      <c r="C185" t="s">
        <v>2193</v>
      </c>
      <c r="D185" t="s">
        <v>2532</v>
      </c>
      <c r="E185" t="s">
        <v>2007</v>
      </c>
      <c r="F185">
        <v>16</v>
      </c>
      <c r="G185" t="s">
        <v>2013</v>
      </c>
      <c r="H185" t="s">
        <v>2015</v>
      </c>
      <c r="I185" t="s">
        <v>2020</v>
      </c>
      <c r="J185" t="s">
        <v>2023</v>
      </c>
      <c r="K185">
        <v>98</v>
      </c>
      <c r="L185" t="s">
        <v>2025</v>
      </c>
      <c r="M185" t="s">
        <v>2035</v>
      </c>
      <c r="N185" t="str">
        <f t="shared" si="4"/>
        <v>Pass</v>
      </c>
      <c r="O185" t="str">
        <f t="shared" si="5"/>
        <v>UnderAge</v>
      </c>
      <c r="P185" t="str" cm="1">
        <f t="array" ref="P185">_xlfn.IFS(K185&gt;90,"Excellent",K185&gt;80,"Very Good",K185&gt;70,"Good",K185&gt;=50,"Poor",K185&lt;50,"Fail")</f>
        <v>Excellent</v>
      </c>
    </row>
    <row r="186" spans="1:16" x14ac:dyDescent="0.25">
      <c r="A186" t="s">
        <v>195</v>
      </c>
      <c r="B186" t="s">
        <v>1195</v>
      </c>
      <c r="C186" t="s">
        <v>2194</v>
      </c>
      <c r="D186" t="s">
        <v>2111</v>
      </c>
      <c r="E186" t="s">
        <v>2007</v>
      </c>
      <c r="F186">
        <v>14</v>
      </c>
      <c r="G186" t="s">
        <v>2009</v>
      </c>
      <c r="H186" t="s">
        <v>2015</v>
      </c>
      <c r="I186" t="s">
        <v>2021</v>
      </c>
      <c r="J186" t="s">
        <v>2024</v>
      </c>
      <c r="K186">
        <v>18</v>
      </c>
      <c r="L186" t="s">
        <v>2028</v>
      </c>
      <c r="M186" t="s">
        <v>2036</v>
      </c>
      <c r="N186" t="str">
        <f t="shared" si="4"/>
        <v>Fail</v>
      </c>
      <c r="O186" t="str">
        <f t="shared" si="5"/>
        <v>UnderAge</v>
      </c>
      <c r="P186" t="str" cm="1">
        <f t="array" ref="P186">_xlfn.IFS(K186&gt;90,"Excellent",K186&gt;80,"Very Good",K186&gt;70,"Good",K186&gt;=50,"Poor",K186&lt;50,"Fail")</f>
        <v>Fail</v>
      </c>
    </row>
    <row r="187" spans="1:16" x14ac:dyDescent="0.25">
      <c r="A187" t="s">
        <v>196</v>
      </c>
      <c r="B187" t="s">
        <v>1196</v>
      </c>
      <c r="C187" t="s">
        <v>2195</v>
      </c>
      <c r="D187" t="s">
        <v>2052</v>
      </c>
      <c r="E187" t="s">
        <v>2008</v>
      </c>
      <c r="F187">
        <v>18</v>
      </c>
      <c r="G187" t="s">
        <v>2013</v>
      </c>
      <c r="H187" t="s">
        <v>2014</v>
      </c>
      <c r="I187" t="s">
        <v>2018</v>
      </c>
      <c r="J187" t="s">
        <v>2023</v>
      </c>
      <c r="K187">
        <v>26</v>
      </c>
      <c r="L187" t="s">
        <v>2031</v>
      </c>
      <c r="M187" t="s">
        <v>2036</v>
      </c>
      <c r="N187" t="str">
        <f t="shared" si="4"/>
        <v>Fail</v>
      </c>
      <c r="O187" t="str">
        <f t="shared" si="5"/>
        <v>Adult</v>
      </c>
      <c r="P187" t="str" cm="1">
        <f t="array" ref="P187">_xlfn.IFS(K187&gt;90,"Excellent",K187&gt;80,"Very Good",K187&gt;70,"Good",K187&gt;=50,"Poor",K187&lt;50,"Fail")</f>
        <v>Fail</v>
      </c>
    </row>
    <row r="188" spans="1:16" x14ac:dyDescent="0.25">
      <c r="A188" t="s">
        <v>197</v>
      </c>
      <c r="B188" t="s">
        <v>1197</v>
      </c>
      <c r="C188" t="s">
        <v>2089</v>
      </c>
      <c r="D188" t="s">
        <v>2506</v>
      </c>
      <c r="E188" t="s">
        <v>2008</v>
      </c>
      <c r="F188">
        <v>15</v>
      </c>
      <c r="G188" t="s">
        <v>2010</v>
      </c>
      <c r="H188" t="s">
        <v>2017</v>
      </c>
      <c r="I188" t="s">
        <v>2018</v>
      </c>
      <c r="J188" t="s">
        <v>2023</v>
      </c>
      <c r="K188">
        <v>3</v>
      </c>
      <c r="L188" t="s">
        <v>2025</v>
      </c>
      <c r="M188" t="s">
        <v>2036</v>
      </c>
      <c r="N188" t="str">
        <f t="shared" si="4"/>
        <v>Fail</v>
      </c>
      <c r="O188" t="str">
        <f t="shared" si="5"/>
        <v>UnderAge</v>
      </c>
      <c r="P188" t="str" cm="1">
        <f t="array" ref="P188">_xlfn.IFS(K188&gt;90,"Excellent",K188&gt;80,"Very Good",K188&gt;70,"Good",K188&gt;=50,"Poor",K188&lt;50,"Fail")</f>
        <v>Fail</v>
      </c>
    </row>
    <row r="189" spans="1:16" x14ac:dyDescent="0.25">
      <c r="A189" t="s">
        <v>198</v>
      </c>
      <c r="B189" t="s">
        <v>1198</v>
      </c>
      <c r="C189" t="s">
        <v>2196</v>
      </c>
      <c r="D189" t="s">
        <v>2533</v>
      </c>
      <c r="E189" t="s">
        <v>2008</v>
      </c>
      <c r="F189">
        <v>16</v>
      </c>
      <c r="G189" t="s">
        <v>2010</v>
      </c>
      <c r="H189" t="s">
        <v>2014</v>
      </c>
      <c r="I189" t="s">
        <v>2020</v>
      </c>
      <c r="J189" t="s">
        <v>2024</v>
      </c>
      <c r="K189">
        <v>54</v>
      </c>
      <c r="L189" t="s">
        <v>2026</v>
      </c>
      <c r="M189" t="s">
        <v>2035</v>
      </c>
      <c r="N189" t="str">
        <f t="shared" si="4"/>
        <v>Pass</v>
      </c>
      <c r="O189" t="str">
        <f t="shared" si="5"/>
        <v>UnderAge</v>
      </c>
      <c r="P189" t="str" cm="1">
        <f t="array" ref="P189">_xlfn.IFS(K189&gt;90,"Excellent",K189&gt;80,"Very Good",K189&gt;70,"Good",K189&gt;=50,"Poor",K189&lt;50,"Fail")</f>
        <v>Poor</v>
      </c>
    </row>
    <row r="190" spans="1:16" x14ac:dyDescent="0.25">
      <c r="A190" t="s">
        <v>199</v>
      </c>
      <c r="B190" t="s">
        <v>1199</v>
      </c>
      <c r="C190" t="s">
        <v>2148</v>
      </c>
      <c r="D190" t="s">
        <v>2415</v>
      </c>
      <c r="E190" t="s">
        <v>2007</v>
      </c>
      <c r="F190">
        <v>18</v>
      </c>
      <c r="G190" t="s">
        <v>2011</v>
      </c>
      <c r="H190" t="s">
        <v>2015</v>
      </c>
      <c r="I190" t="s">
        <v>2019</v>
      </c>
      <c r="J190" t="s">
        <v>2023</v>
      </c>
      <c r="K190">
        <v>79</v>
      </c>
      <c r="L190" t="s">
        <v>2032</v>
      </c>
      <c r="M190" t="s">
        <v>2035</v>
      </c>
      <c r="N190" t="str">
        <f t="shared" si="4"/>
        <v>Pass</v>
      </c>
      <c r="O190" t="str">
        <f t="shared" si="5"/>
        <v>Adult</v>
      </c>
      <c r="P190" t="str" cm="1">
        <f t="array" ref="P190">_xlfn.IFS(K190&gt;90,"Excellent",K190&gt;80,"Very Good",K190&gt;70,"Good",K190&gt;=50,"Poor",K190&lt;50,"Fail")</f>
        <v>Good</v>
      </c>
    </row>
    <row r="191" spans="1:16" x14ac:dyDescent="0.25">
      <c r="A191" t="s">
        <v>200</v>
      </c>
      <c r="B191" t="s">
        <v>1200</v>
      </c>
      <c r="C191" t="s">
        <v>2137</v>
      </c>
      <c r="D191" t="s">
        <v>2534</v>
      </c>
      <c r="E191" t="s">
        <v>2007</v>
      </c>
      <c r="F191">
        <v>16</v>
      </c>
      <c r="G191" t="s">
        <v>2012</v>
      </c>
      <c r="H191" t="s">
        <v>2016</v>
      </c>
      <c r="I191" t="s">
        <v>2022</v>
      </c>
      <c r="J191" t="s">
        <v>2024</v>
      </c>
      <c r="K191">
        <v>67</v>
      </c>
      <c r="L191" t="s">
        <v>2028</v>
      </c>
      <c r="M191" t="s">
        <v>2035</v>
      </c>
      <c r="N191" t="str">
        <f t="shared" si="4"/>
        <v>Pass</v>
      </c>
      <c r="O191" t="str">
        <f t="shared" si="5"/>
        <v>UnderAge</v>
      </c>
      <c r="P191" t="str" cm="1">
        <f t="array" ref="P191">_xlfn.IFS(K191&gt;90,"Excellent",K191&gt;80,"Very Good",K191&gt;70,"Good",K191&gt;=50,"Poor",K191&lt;50,"Fail")</f>
        <v>Poor</v>
      </c>
    </row>
    <row r="192" spans="1:16" x14ac:dyDescent="0.25">
      <c r="A192" t="s">
        <v>201</v>
      </c>
      <c r="B192" t="s">
        <v>1120</v>
      </c>
      <c r="C192" t="s">
        <v>2153</v>
      </c>
      <c r="D192" t="s">
        <v>2479</v>
      </c>
      <c r="E192" t="s">
        <v>2008</v>
      </c>
      <c r="F192">
        <v>14</v>
      </c>
      <c r="G192" t="s">
        <v>2011</v>
      </c>
      <c r="H192" t="s">
        <v>2017</v>
      </c>
      <c r="I192" t="s">
        <v>2018</v>
      </c>
      <c r="J192" t="s">
        <v>2024</v>
      </c>
      <c r="K192">
        <v>54</v>
      </c>
      <c r="L192" t="s">
        <v>2028</v>
      </c>
      <c r="M192" t="s">
        <v>2035</v>
      </c>
      <c r="N192" t="str">
        <f t="shared" si="4"/>
        <v>Pass</v>
      </c>
      <c r="O192" t="str">
        <f t="shared" si="5"/>
        <v>UnderAge</v>
      </c>
      <c r="P192" t="str" cm="1">
        <f t="array" ref="P192">_xlfn.IFS(K192&gt;90,"Excellent",K192&gt;80,"Very Good",K192&gt;70,"Good",K192&gt;=50,"Poor",K192&lt;50,"Fail")</f>
        <v>Poor</v>
      </c>
    </row>
    <row r="193" spans="1:16" x14ac:dyDescent="0.25">
      <c r="A193" t="s">
        <v>202</v>
      </c>
      <c r="B193" t="s">
        <v>1201</v>
      </c>
      <c r="C193" t="s">
        <v>2197</v>
      </c>
      <c r="D193" t="s">
        <v>2535</v>
      </c>
      <c r="E193" t="s">
        <v>2007</v>
      </c>
      <c r="F193">
        <v>18</v>
      </c>
      <c r="G193" t="s">
        <v>2009</v>
      </c>
      <c r="H193" t="s">
        <v>2014</v>
      </c>
      <c r="I193" t="s">
        <v>2019</v>
      </c>
      <c r="J193" t="s">
        <v>2023</v>
      </c>
      <c r="K193">
        <v>2</v>
      </c>
      <c r="L193" t="s">
        <v>2030</v>
      </c>
      <c r="M193" t="s">
        <v>2036</v>
      </c>
      <c r="N193" t="str">
        <f t="shared" si="4"/>
        <v>Fail</v>
      </c>
      <c r="O193" t="str">
        <f t="shared" si="5"/>
        <v>Adult</v>
      </c>
      <c r="P193" t="str" cm="1">
        <f t="array" ref="P193">_xlfn.IFS(K193&gt;90,"Excellent",K193&gt;80,"Very Good",K193&gt;70,"Good",K193&gt;=50,"Poor",K193&lt;50,"Fail")</f>
        <v>Fail</v>
      </c>
    </row>
    <row r="194" spans="1:16" x14ac:dyDescent="0.25">
      <c r="A194" t="s">
        <v>203</v>
      </c>
      <c r="B194" t="s">
        <v>1202</v>
      </c>
      <c r="C194" t="s">
        <v>2169</v>
      </c>
      <c r="D194" t="s">
        <v>2073</v>
      </c>
      <c r="E194" t="s">
        <v>2008</v>
      </c>
      <c r="F194">
        <v>14</v>
      </c>
      <c r="G194" t="s">
        <v>2011</v>
      </c>
      <c r="H194" t="s">
        <v>2017</v>
      </c>
      <c r="I194" t="s">
        <v>2021</v>
      </c>
      <c r="J194" t="s">
        <v>2023</v>
      </c>
      <c r="K194">
        <v>33</v>
      </c>
      <c r="L194" t="s">
        <v>2034</v>
      </c>
      <c r="M194" t="s">
        <v>2036</v>
      </c>
      <c r="N194" t="str">
        <f t="shared" si="4"/>
        <v>Fail</v>
      </c>
      <c r="O194" t="str">
        <f t="shared" si="5"/>
        <v>UnderAge</v>
      </c>
      <c r="P194" t="str" cm="1">
        <f t="array" ref="P194">_xlfn.IFS(K194&gt;90,"Excellent",K194&gt;80,"Very Good",K194&gt;70,"Good",K194&gt;=50,"Poor",K194&lt;50,"Fail")</f>
        <v>Fail</v>
      </c>
    </row>
    <row r="195" spans="1:16" x14ac:dyDescent="0.25">
      <c r="A195" t="s">
        <v>204</v>
      </c>
      <c r="B195" t="s">
        <v>1203</v>
      </c>
      <c r="C195" t="s">
        <v>2198</v>
      </c>
      <c r="D195" t="s">
        <v>2536</v>
      </c>
      <c r="E195" t="s">
        <v>2008</v>
      </c>
      <c r="F195">
        <v>16</v>
      </c>
      <c r="G195" t="s">
        <v>2009</v>
      </c>
      <c r="H195" t="s">
        <v>2016</v>
      </c>
      <c r="I195" t="s">
        <v>2018</v>
      </c>
      <c r="J195" t="s">
        <v>2024</v>
      </c>
      <c r="K195">
        <v>51</v>
      </c>
      <c r="L195" t="s">
        <v>2030</v>
      </c>
      <c r="M195" t="s">
        <v>2035</v>
      </c>
      <c r="N195" t="str">
        <f t="shared" ref="N195:N258" si="6">IF(K195&gt;=50,"Pass","Fail")</f>
        <v>Pass</v>
      </c>
      <c r="O195" t="str">
        <f t="shared" ref="O195:O258" si="7">IF(F195&gt;=18,"Adult","UnderAge")</f>
        <v>UnderAge</v>
      </c>
      <c r="P195" t="str" cm="1">
        <f t="array" ref="P195">_xlfn.IFS(K195&gt;90,"Excellent",K195&gt;80,"Very Good",K195&gt;70,"Good",K195&gt;=50,"Poor",K195&lt;50,"Fail")</f>
        <v>Poor</v>
      </c>
    </row>
    <row r="196" spans="1:16" x14ac:dyDescent="0.25">
      <c r="A196" t="s">
        <v>205</v>
      </c>
      <c r="B196" t="s">
        <v>1204</v>
      </c>
      <c r="C196" t="s">
        <v>2199</v>
      </c>
      <c r="D196" t="s">
        <v>2537</v>
      </c>
      <c r="E196" t="s">
        <v>2007</v>
      </c>
      <c r="F196">
        <v>17</v>
      </c>
      <c r="G196" t="s">
        <v>2010</v>
      </c>
      <c r="H196" t="s">
        <v>2014</v>
      </c>
      <c r="I196" t="s">
        <v>2022</v>
      </c>
      <c r="J196" t="s">
        <v>2024</v>
      </c>
      <c r="K196">
        <v>7</v>
      </c>
      <c r="L196" t="s">
        <v>2031</v>
      </c>
      <c r="M196" t="s">
        <v>2036</v>
      </c>
      <c r="N196" t="str">
        <f t="shared" si="6"/>
        <v>Fail</v>
      </c>
      <c r="O196" t="str">
        <f t="shared" si="7"/>
        <v>UnderAge</v>
      </c>
      <c r="P196" t="str" cm="1">
        <f t="array" ref="P196">_xlfn.IFS(K196&gt;90,"Excellent",K196&gt;80,"Very Good",K196&gt;70,"Good",K196&gt;=50,"Poor",K196&lt;50,"Fail")</f>
        <v>Fail</v>
      </c>
    </row>
    <row r="197" spans="1:16" x14ac:dyDescent="0.25">
      <c r="A197" t="s">
        <v>206</v>
      </c>
      <c r="B197" t="s">
        <v>1205</v>
      </c>
      <c r="C197" t="s">
        <v>2200</v>
      </c>
      <c r="D197" t="s">
        <v>2538</v>
      </c>
      <c r="E197" t="s">
        <v>2007</v>
      </c>
      <c r="F197">
        <v>15</v>
      </c>
      <c r="G197" t="s">
        <v>2010</v>
      </c>
      <c r="H197" t="s">
        <v>2016</v>
      </c>
      <c r="I197" t="s">
        <v>2022</v>
      </c>
      <c r="J197" t="s">
        <v>2024</v>
      </c>
      <c r="K197">
        <v>74</v>
      </c>
      <c r="L197" t="s">
        <v>2033</v>
      </c>
      <c r="M197" t="s">
        <v>2035</v>
      </c>
      <c r="N197" t="str">
        <f t="shared" si="6"/>
        <v>Pass</v>
      </c>
      <c r="O197" t="str">
        <f t="shared" si="7"/>
        <v>UnderAge</v>
      </c>
      <c r="P197" t="str" cm="1">
        <f t="array" ref="P197">_xlfn.IFS(K197&gt;90,"Excellent",K197&gt;80,"Very Good",K197&gt;70,"Good",K197&gt;=50,"Poor",K197&lt;50,"Fail")</f>
        <v>Good</v>
      </c>
    </row>
    <row r="198" spans="1:16" x14ac:dyDescent="0.25">
      <c r="A198" t="s">
        <v>207</v>
      </c>
      <c r="B198" t="s">
        <v>1206</v>
      </c>
      <c r="C198" t="s">
        <v>2159</v>
      </c>
      <c r="D198" t="s">
        <v>2504</v>
      </c>
      <c r="E198" t="s">
        <v>2007</v>
      </c>
      <c r="F198">
        <v>16</v>
      </c>
      <c r="G198" t="s">
        <v>2010</v>
      </c>
      <c r="H198" t="s">
        <v>2015</v>
      </c>
      <c r="I198" t="s">
        <v>2021</v>
      </c>
      <c r="J198" t="s">
        <v>2023</v>
      </c>
      <c r="K198">
        <v>14</v>
      </c>
      <c r="L198" t="s">
        <v>2028</v>
      </c>
      <c r="M198" t="s">
        <v>2036</v>
      </c>
      <c r="N198" t="str">
        <f t="shared" si="6"/>
        <v>Fail</v>
      </c>
      <c r="O198" t="str">
        <f t="shared" si="7"/>
        <v>UnderAge</v>
      </c>
      <c r="P198" t="str" cm="1">
        <f t="array" ref="P198">_xlfn.IFS(K198&gt;90,"Excellent",K198&gt;80,"Very Good",K198&gt;70,"Good",K198&gt;=50,"Poor",K198&lt;50,"Fail")</f>
        <v>Fail</v>
      </c>
    </row>
    <row r="199" spans="1:16" x14ac:dyDescent="0.25">
      <c r="A199" t="s">
        <v>208</v>
      </c>
      <c r="B199" t="s">
        <v>1207</v>
      </c>
      <c r="C199" t="s">
        <v>2201</v>
      </c>
      <c r="D199" t="s">
        <v>2539</v>
      </c>
      <c r="E199" t="s">
        <v>2007</v>
      </c>
      <c r="F199">
        <v>16</v>
      </c>
      <c r="G199" t="s">
        <v>2012</v>
      </c>
      <c r="H199" t="s">
        <v>2017</v>
      </c>
      <c r="I199" t="s">
        <v>2022</v>
      </c>
      <c r="J199" t="s">
        <v>2023</v>
      </c>
      <c r="K199">
        <v>45</v>
      </c>
      <c r="L199" t="s">
        <v>2033</v>
      </c>
      <c r="M199" t="s">
        <v>2036</v>
      </c>
      <c r="N199" t="str">
        <f t="shared" si="6"/>
        <v>Fail</v>
      </c>
      <c r="O199" t="str">
        <f t="shared" si="7"/>
        <v>UnderAge</v>
      </c>
      <c r="P199" t="str" cm="1">
        <f t="array" ref="P199">_xlfn.IFS(K199&gt;90,"Excellent",K199&gt;80,"Very Good",K199&gt;70,"Good",K199&gt;=50,"Poor",K199&lt;50,"Fail")</f>
        <v>Fail</v>
      </c>
    </row>
    <row r="200" spans="1:16" x14ac:dyDescent="0.25">
      <c r="A200" t="s">
        <v>209</v>
      </c>
      <c r="B200" t="s">
        <v>1208</v>
      </c>
      <c r="C200" t="s">
        <v>2122</v>
      </c>
      <c r="D200" t="s">
        <v>2540</v>
      </c>
      <c r="E200" t="s">
        <v>2007</v>
      </c>
      <c r="F200">
        <v>18</v>
      </c>
      <c r="G200" t="s">
        <v>2010</v>
      </c>
      <c r="H200" t="s">
        <v>2015</v>
      </c>
      <c r="I200" t="s">
        <v>2019</v>
      </c>
      <c r="J200" t="s">
        <v>2024</v>
      </c>
      <c r="K200">
        <v>9</v>
      </c>
      <c r="L200" t="s">
        <v>2025</v>
      </c>
      <c r="M200" t="s">
        <v>2036</v>
      </c>
      <c r="N200" t="str">
        <f t="shared" si="6"/>
        <v>Fail</v>
      </c>
      <c r="O200" t="str">
        <f t="shared" si="7"/>
        <v>Adult</v>
      </c>
      <c r="P200" t="str" cm="1">
        <f t="array" ref="P200">_xlfn.IFS(K200&gt;90,"Excellent",K200&gt;80,"Very Good",K200&gt;70,"Good",K200&gt;=50,"Poor",K200&lt;50,"Fail")</f>
        <v>Fail</v>
      </c>
    </row>
    <row r="201" spans="1:16" x14ac:dyDescent="0.25">
      <c r="A201" t="s">
        <v>210</v>
      </c>
      <c r="B201" t="s">
        <v>1209</v>
      </c>
      <c r="C201" t="s">
        <v>2202</v>
      </c>
      <c r="D201" t="s">
        <v>2474</v>
      </c>
      <c r="E201" t="s">
        <v>2007</v>
      </c>
      <c r="F201">
        <v>17</v>
      </c>
      <c r="G201" t="s">
        <v>2013</v>
      </c>
      <c r="H201" t="s">
        <v>2014</v>
      </c>
      <c r="I201" t="s">
        <v>2018</v>
      </c>
      <c r="J201" t="s">
        <v>2023</v>
      </c>
      <c r="K201">
        <v>61</v>
      </c>
      <c r="L201" t="s">
        <v>2033</v>
      </c>
      <c r="M201" t="s">
        <v>2035</v>
      </c>
      <c r="N201" t="str">
        <f t="shared" si="6"/>
        <v>Pass</v>
      </c>
      <c r="O201" t="str">
        <f t="shared" si="7"/>
        <v>UnderAge</v>
      </c>
      <c r="P201" t="str" cm="1">
        <f t="array" ref="P201">_xlfn.IFS(K201&gt;90,"Excellent",K201&gt;80,"Very Good",K201&gt;70,"Good",K201&gt;=50,"Poor",K201&lt;50,"Fail")</f>
        <v>Poor</v>
      </c>
    </row>
    <row r="202" spans="1:16" x14ac:dyDescent="0.25">
      <c r="A202" t="s">
        <v>211</v>
      </c>
      <c r="B202" t="s">
        <v>1210</v>
      </c>
      <c r="C202" t="s">
        <v>2105</v>
      </c>
      <c r="D202" t="s">
        <v>2541</v>
      </c>
      <c r="E202" t="s">
        <v>2007</v>
      </c>
      <c r="F202">
        <v>18</v>
      </c>
      <c r="G202" t="s">
        <v>2013</v>
      </c>
      <c r="H202" t="s">
        <v>2015</v>
      </c>
      <c r="I202" t="s">
        <v>2020</v>
      </c>
      <c r="J202" t="s">
        <v>2023</v>
      </c>
      <c r="K202">
        <v>13</v>
      </c>
      <c r="L202" t="s">
        <v>2025</v>
      </c>
      <c r="M202" t="s">
        <v>2036</v>
      </c>
      <c r="N202" t="str">
        <f t="shared" si="6"/>
        <v>Fail</v>
      </c>
      <c r="O202" t="str">
        <f t="shared" si="7"/>
        <v>Adult</v>
      </c>
      <c r="P202" t="str" cm="1">
        <f t="array" ref="P202">_xlfn.IFS(K202&gt;90,"Excellent",K202&gt;80,"Very Good",K202&gt;70,"Good",K202&gt;=50,"Poor",K202&lt;50,"Fail")</f>
        <v>Fail</v>
      </c>
    </row>
    <row r="203" spans="1:16" x14ac:dyDescent="0.25">
      <c r="A203" t="s">
        <v>212</v>
      </c>
      <c r="B203" t="s">
        <v>1211</v>
      </c>
      <c r="C203" t="s">
        <v>2133</v>
      </c>
      <c r="D203" t="s">
        <v>2542</v>
      </c>
      <c r="E203" t="s">
        <v>2008</v>
      </c>
      <c r="F203">
        <v>18</v>
      </c>
      <c r="G203" t="s">
        <v>2012</v>
      </c>
      <c r="H203" t="s">
        <v>2017</v>
      </c>
      <c r="I203" t="s">
        <v>2018</v>
      </c>
      <c r="J203" t="s">
        <v>2023</v>
      </c>
      <c r="K203">
        <v>66</v>
      </c>
      <c r="L203" t="s">
        <v>2034</v>
      </c>
      <c r="M203" t="s">
        <v>2035</v>
      </c>
      <c r="N203" t="str">
        <f t="shared" si="6"/>
        <v>Pass</v>
      </c>
      <c r="O203" t="str">
        <f t="shared" si="7"/>
        <v>Adult</v>
      </c>
      <c r="P203" t="str" cm="1">
        <f t="array" ref="P203">_xlfn.IFS(K203&gt;90,"Excellent",K203&gt;80,"Very Good",K203&gt;70,"Good",K203&gt;=50,"Poor",K203&lt;50,"Fail")</f>
        <v>Poor</v>
      </c>
    </row>
    <row r="204" spans="1:16" x14ac:dyDescent="0.25">
      <c r="A204" t="s">
        <v>213</v>
      </c>
      <c r="B204" t="s">
        <v>1212</v>
      </c>
      <c r="C204" t="s">
        <v>2203</v>
      </c>
      <c r="D204" t="s">
        <v>2543</v>
      </c>
      <c r="E204" t="s">
        <v>2007</v>
      </c>
      <c r="F204">
        <v>17</v>
      </c>
      <c r="G204" t="s">
        <v>2011</v>
      </c>
      <c r="H204" t="s">
        <v>2016</v>
      </c>
      <c r="I204" t="s">
        <v>2018</v>
      </c>
      <c r="J204" t="s">
        <v>2023</v>
      </c>
      <c r="K204">
        <v>87</v>
      </c>
      <c r="L204" t="s">
        <v>2030</v>
      </c>
      <c r="M204" t="s">
        <v>2035</v>
      </c>
      <c r="N204" t="str">
        <f t="shared" si="6"/>
        <v>Pass</v>
      </c>
      <c r="O204" t="str">
        <f t="shared" si="7"/>
        <v>UnderAge</v>
      </c>
      <c r="P204" t="str" cm="1">
        <f t="array" ref="P204">_xlfn.IFS(K204&gt;90,"Excellent",K204&gt;80,"Very Good",K204&gt;70,"Good",K204&gt;=50,"Poor",K204&lt;50,"Fail")</f>
        <v>Very Good</v>
      </c>
    </row>
    <row r="205" spans="1:16" x14ac:dyDescent="0.25">
      <c r="A205" t="s">
        <v>214</v>
      </c>
      <c r="B205" t="s">
        <v>1213</v>
      </c>
      <c r="C205" t="s">
        <v>2204</v>
      </c>
      <c r="D205" t="s">
        <v>2440</v>
      </c>
      <c r="E205" t="s">
        <v>2007</v>
      </c>
      <c r="F205">
        <v>16</v>
      </c>
      <c r="G205" t="s">
        <v>2013</v>
      </c>
      <c r="H205" t="s">
        <v>2016</v>
      </c>
      <c r="I205" t="s">
        <v>2018</v>
      </c>
      <c r="J205" t="s">
        <v>2023</v>
      </c>
      <c r="K205">
        <v>15</v>
      </c>
      <c r="L205" t="s">
        <v>2027</v>
      </c>
      <c r="M205" t="s">
        <v>2036</v>
      </c>
      <c r="N205" t="str">
        <f t="shared" si="6"/>
        <v>Fail</v>
      </c>
      <c r="O205" t="str">
        <f t="shared" si="7"/>
        <v>UnderAge</v>
      </c>
      <c r="P205" t="str" cm="1">
        <f t="array" ref="P205">_xlfn.IFS(K205&gt;90,"Excellent",K205&gt;80,"Very Good",K205&gt;70,"Good",K205&gt;=50,"Poor",K205&lt;50,"Fail")</f>
        <v>Fail</v>
      </c>
    </row>
    <row r="206" spans="1:16" x14ac:dyDescent="0.25">
      <c r="A206" t="s">
        <v>215</v>
      </c>
      <c r="B206" t="s">
        <v>1214</v>
      </c>
      <c r="C206" t="s">
        <v>2164</v>
      </c>
      <c r="D206" t="s">
        <v>2544</v>
      </c>
      <c r="E206" t="s">
        <v>2008</v>
      </c>
      <c r="F206">
        <v>14</v>
      </c>
      <c r="G206" t="s">
        <v>2012</v>
      </c>
      <c r="H206" t="s">
        <v>2017</v>
      </c>
      <c r="I206" t="s">
        <v>2021</v>
      </c>
      <c r="J206" t="s">
        <v>2023</v>
      </c>
      <c r="K206">
        <v>80</v>
      </c>
      <c r="L206" t="s">
        <v>2030</v>
      </c>
      <c r="M206" t="s">
        <v>2035</v>
      </c>
      <c r="N206" t="str">
        <f t="shared" si="6"/>
        <v>Pass</v>
      </c>
      <c r="O206" t="str">
        <f t="shared" si="7"/>
        <v>UnderAge</v>
      </c>
      <c r="P206" t="str" cm="1">
        <f t="array" ref="P206">_xlfn.IFS(K206&gt;90,"Excellent",K206&gt;80,"Very Good",K206&gt;70,"Good",K206&gt;=50,"Poor",K206&lt;50,"Fail")</f>
        <v>Good</v>
      </c>
    </row>
    <row r="207" spans="1:16" x14ac:dyDescent="0.25">
      <c r="A207" t="s">
        <v>216</v>
      </c>
      <c r="B207" t="s">
        <v>1215</v>
      </c>
      <c r="C207" t="s">
        <v>2205</v>
      </c>
      <c r="D207" t="s">
        <v>2545</v>
      </c>
      <c r="E207" t="s">
        <v>2007</v>
      </c>
      <c r="F207">
        <v>17</v>
      </c>
      <c r="G207" t="s">
        <v>2011</v>
      </c>
      <c r="H207" t="s">
        <v>2016</v>
      </c>
      <c r="I207" t="s">
        <v>2022</v>
      </c>
      <c r="J207" t="s">
        <v>2023</v>
      </c>
      <c r="K207">
        <v>43</v>
      </c>
      <c r="L207" t="s">
        <v>2034</v>
      </c>
      <c r="M207" t="s">
        <v>2036</v>
      </c>
      <c r="N207" t="str">
        <f t="shared" si="6"/>
        <v>Fail</v>
      </c>
      <c r="O207" t="str">
        <f t="shared" si="7"/>
        <v>UnderAge</v>
      </c>
      <c r="P207" t="str" cm="1">
        <f t="array" ref="P207">_xlfn.IFS(K207&gt;90,"Excellent",K207&gt;80,"Very Good",K207&gt;70,"Good",K207&gt;=50,"Poor",K207&lt;50,"Fail")</f>
        <v>Fail</v>
      </c>
    </row>
    <row r="208" spans="1:16" x14ac:dyDescent="0.25">
      <c r="A208" t="s">
        <v>217</v>
      </c>
      <c r="B208" t="s">
        <v>1216</v>
      </c>
      <c r="C208" t="s">
        <v>2206</v>
      </c>
      <c r="D208" t="s">
        <v>2546</v>
      </c>
      <c r="E208" t="s">
        <v>2008</v>
      </c>
      <c r="F208">
        <v>16</v>
      </c>
      <c r="G208" t="s">
        <v>2011</v>
      </c>
      <c r="H208" t="s">
        <v>2017</v>
      </c>
      <c r="I208" t="s">
        <v>2020</v>
      </c>
      <c r="J208" t="s">
        <v>2023</v>
      </c>
      <c r="K208">
        <v>93</v>
      </c>
      <c r="L208" t="s">
        <v>2031</v>
      </c>
      <c r="M208" t="s">
        <v>2035</v>
      </c>
      <c r="N208" t="str">
        <f t="shared" si="6"/>
        <v>Pass</v>
      </c>
      <c r="O208" t="str">
        <f t="shared" si="7"/>
        <v>UnderAge</v>
      </c>
      <c r="P208" t="str" cm="1">
        <f t="array" ref="P208">_xlfn.IFS(K208&gt;90,"Excellent",K208&gt;80,"Very Good",K208&gt;70,"Good",K208&gt;=50,"Poor",K208&lt;50,"Fail")</f>
        <v>Excellent</v>
      </c>
    </row>
    <row r="209" spans="1:16" x14ac:dyDescent="0.25">
      <c r="A209" t="s">
        <v>218</v>
      </c>
      <c r="B209" t="s">
        <v>1217</v>
      </c>
      <c r="C209" t="s">
        <v>2207</v>
      </c>
      <c r="D209" t="s">
        <v>2547</v>
      </c>
      <c r="E209" t="s">
        <v>2008</v>
      </c>
      <c r="F209">
        <v>18</v>
      </c>
      <c r="G209" t="s">
        <v>2011</v>
      </c>
      <c r="H209" t="s">
        <v>2016</v>
      </c>
      <c r="I209" t="s">
        <v>2021</v>
      </c>
      <c r="J209" t="s">
        <v>2024</v>
      </c>
      <c r="K209">
        <v>5</v>
      </c>
      <c r="L209" t="s">
        <v>2031</v>
      </c>
      <c r="M209" t="s">
        <v>2036</v>
      </c>
      <c r="N209" t="str">
        <f t="shared" si="6"/>
        <v>Fail</v>
      </c>
      <c r="O209" t="str">
        <f t="shared" si="7"/>
        <v>Adult</v>
      </c>
      <c r="P209" t="str" cm="1">
        <f t="array" ref="P209">_xlfn.IFS(K209&gt;90,"Excellent",K209&gt;80,"Very Good",K209&gt;70,"Good",K209&gt;=50,"Poor",K209&lt;50,"Fail")</f>
        <v>Fail</v>
      </c>
    </row>
    <row r="210" spans="1:16" x14ac:dyDescent="0.25">
      <c r="A210" t="s">
        <v>219</v>
      </c>
      <c r="B210" t="s">
        <v>1218</v>
      </c>
      <c r="C210" t="s">
        <v>2105</v>
      </c>
      <c r="D210" t="s">
        <v>2548</v>
      </c>
      <c r="E210" t="s">
        <v>2007</v>
      </c>
      <c r="F210">
        <v>15</v>
      </c>
      <c r="G210" t="s">
        <v>2013</v>
      </c>
      <c r="H210" t="s">
        <v>2017</v>
      </c>
      <c r="I210" t="s">
        <v>2019</v>
      </c>
      <c r="J210" t="s">
        <v>2024</v>
      </c>
      <c r="K210">
        <v>74</v>
      </c>
      <c r="L210" t="s">
        <v>2033</v>
      </c>
      <c r="M210" t="s">
        <v>2035</v>
      </c>
      <c r="N210" t="str">
        <f t="shared" si="6"/>
        <v>Pass</v>
      </c>
      <c r="O210" t="str">
        <f t="shared" si="7"/>
        <v>UnderAge</v>
      </c>
      <c r="P210" t="str" cm="1">
        <f t="array" ref="P210">_xlfn.IFS(K210&gt;90,"Excellent",K210&gt;80,"Very Good",K210&gt;70,"Good",K210&gt;=50,"Poor",K210&lt;50,"Fail")</f>
        <v>Good</v>
      </c>
    </row>
    <row r="211" spans="1:16" x14ac:dyDescent="0.25">
      <c r="A211" t="s">
        <v>220</v>
      </c>
      <c r="B211" t="s">
        <v>1219</v>
      </c>
      <c r="C211" t="s">
        <v>2132</v>
      </c>
      <c r="D211" t="s">
        <v>2549</v>
      </c>
      <c r="E211" t="s">
        <v>2007</v>
      </c>
      <c r="F211">
        <v>18</v>
      </c>
      <c r="G211" t="s">
        <v>2011</v>
      </c>
      <c r="H211" t="s">
        <v>2015</v>
      </c>
      <c r="I211" t="s">
        <v>2020</v>
      </c>
      <c r="J211" t="s">
        <v>2024</v>
      </c>
      <c r="K211">
        <v>95</v>
      </c>
      <c r="L211" t="s">
        <v>2025</v>
      </c>
      <c r="M211" t="s">
        <v>2035</v>
      </c>
      <c r="N211" t="str">
        <f t="shared" si="6"/>
        <v>Pass</v>
      </c>
      <c r="O211" t="str">
        <f t="shared" si="7"/>
        <v>Adult</v>
      </c>
      <c r="P211" t="str" cm="1">
        <f t="array" ref="P211">_xlfn.IFS(K211&gt;90,"Excellent",K211&gt;80,"Very Good",K211&gt;70,"Good",K211&gt;=50,"Poor",K211&lt;50,"Fail")</f>
        <v>Excellent</v>
      </c>
    </row>
    <row r="212" spans="1:16" x14ac:dyDescent="0.25">
      <c r="A212" t="s">
        <v>221</v>
      </c>
      <c r="B212" t="s">
        <v>1220</v>
      </c>
      <c r="C212" t="s">
        <v>2208</v>
      </c>
      <c r="D212" t="s">
        <v>2168</v>
      </c>
      <c r="E212" t="s">
        <v>2008</v>
      </c>
      <c r="F212">
        <v>18</v>
      </c>
      <c r="G212" t="s">
        <v>2012</v>
      </c>
      <c r="H212" t="s">
        <v>2014</v>
      </c>
      <c r="I212" t="s">
        <v>2022</v>
      </c>
      <c r="J212" t="s">
        <v>2024</v>
      </c>
      <c r="K212">
        <v>85</v>
      </c>
      <c r="L212" t="s">
        <v>2034</v>
      </c>
      <c r="M212" t="s">
        <v>2035</v>
      </c>
      <c r="N212" t="str">
        <f t="shared" si="6"/>
        <v>Pass</v>
      </c>
      <c r="O212" t="str">
        <f t="shared" si="7"/>
        <v>Adult</v>
      </c>
      <c r="P212" t="str" cm="1">
        <f t="array" ref="P212">_xlfn.IFS(K212&gt;90,"Excellent",K212&gt;80,"Very Good",K212&gt;70,"Good",K212&gt;=50,"Poor",K212&lt;50,"Fail")</f>
        <v>Very Good</v>
      </c>
    </row>
    <row r="213" spans="1:16" x14ac:dyDescent="0.25">
      <c r="A213" t="s">
        <v>222</v>
      </c>
      <c r="B213" t="s">
        <v>1221</v>
      </c>
      <c r="C213" t="s">
        <v>2110</v>
      </c>
      <c r="D213" t="s">
        <v>2550</v>
      </c>
      <c r="E213" t="s">
        <v>2008</v>
      </c>
      <c r="F213">
        <v>18</v>
      </c>
      <c r="G213" t="s">
        <v>2013</v>
      </c>
      <c r="H213" t="s">
        <v>2015</v>
      </c>
      <c r="I213" t="s">
        <v>2020</v>
      </c>
      <c r="J213" t="s">
        <v>2024</v>
      </c>
      <c r="K213">
        <v>12</v>
      </c>
      <c r="L213" t="s">
        <v>2033</v>
      </c>
      <c r="M213" t="s">
        <v>2036</v>
      </c>
      <c r="N213" t="str">
        <f t="shared" si="6"/>
        <v>Fail</v>
      </c>
      <c r="O213" t="str">
        <f t="shared" si="7"/>
        <v>Adult</v>
      </c>
      <c r="P213" t="str" cm="1">
        <f t="array" ref="P213">_xlfn.IFS(K213&gt;90,"Excellent",K213&gt;80,"Very Good",K213&gt;70,"Good",K213&gt;=50,"Poor",K213&lt;50,"Fail")</f>
        <v>Fail</v>
      </c>
    </row>
    <row r="214" spans="1:16" x14ac:dyDescent="0.25">
      <c r="A214" t="s">
        <v>223</v>
      </c>
      <c r="B214" t="s">
        <v>1222</v>
      </c>
      <c r="C214" t="s">
        <v>2183</v>
      </c>
      <c r="D214" t="s">
        <v>2551</v>
      </c>
      <c r="E214" t="s">
        <v>2008</v>
      </c>
      <c r="F214">
        <v>15</v>
      </c>
      <c r="G214" t="s">
        <v>2009</v>
      </c>
      <c r="H214" t="s">
        <v>2014</v>
      </c>
      <c r="I214" t="s">
        <v>2022</v>
      </c>
      <c r="J214" t="s">
        <v>2024</v>
      </c>
      <c r="K214">
        <v>30</v>
      </c>
      <c r="L214" t="s">
        <v>2032</v>
      </c>
      <c r="M214" t="s">
        <v>2036</v>
      </c>
      <c r="N214" t="str">
        <f t="shared" si="6"/>
        <v>Fail</v>
      </c>
      <c r="O214" t="str">
        <f t="shared" si="7"/>
        <v>UnderAge</v>
      </c>
      <c r="P214" t="str" cm="1">
        <f t="array" ref="P214">_xlfn.IFS(K214&gt;90,"Excellent",K214&gt;80,"Very Good",K214&gt;70,"Good",K214&gt;=50,"Poor",K214&lt;50,"Fail")</f>
        <v>Fail</v>
      </c>
    </row>
    <row r="215" spans="1:16" x14ac:dyDescent="0.25">
      <c r="A215" t="s">
        <v>224</v>
      </c>
      <c r="B215" t="s">
        <v>1223</v>
      </c>
      <c r="C215" t="s">
        <v>2209</v>
      </c>
      <c r="D215" t="s">
        <v>2552</v>
      </c>
      <c r="E215" t="s">
        <v>2008</v>
      </c>
      <c r="F215">
        <v>16</v>
      </c>
      <c r="G215" t="s">
        <v>2009</v>
      </c>
      <c r="H215" t="s">
        <v>2017</v>
      </c>
      <c r="I215" t="s">
        <v>2018</v>
      </c>
      <c r="J215" t="s">
        <v>2023</v>
      </c>
      <c r="K215">
        <v>95</v>
      </c>
      <c r="L215" t="s">
        <v>2033</v>
      </c>
      <c r="M215" t="s">
        <v>2035</v>
      </c>
      <c r="N215" t="str">
        <f t="shared" si="6"/>
        <v>Pass</v>
      </c>
      <c r="O215" t="str">
        <f t="shared" si="7"/>
        <v>UnderAge</v>
      </c>
      <c r="P215" t="str" cm="1">
        <f t="array" ref="P215">_xlfn.IFS(K215&gt;90,"Excellent",K215&gt;80,"Very Good",K215&gt;70,"Good",K215&gt;=50,"Poor",K215&lt;50,"Fail")</f>
        <v>Excellent</v>
      </c>
    </row>
    <row r="216" spans="1:16" x14ac:dyDescent="0.25">
      <c r="A216" t="s">
        <v>225</v>
      </c>
      <c r="B216" t="s">
        <v>1224</v>
      </c>
      <c r="C216" t="s">
        <v>2126</v>
      </c>
      <c r="D216" t="s">
        <v>2046</v>
      </c>
      <c r="E216" t="s">
        <v>2007</v>
      </c>
      <c r="F216">
        <v>15</v>
      </c>
      <c r="G216" t="s">
        <v>2013</v>
      </c>
      <c r="H216" t="s">
        <v>2014</v>
      </c>
      <c r="I216" t="s">
        <v>2019</v>
      </c>
      <c r="J216" t="s">
        <v>2023</v>
      </c>
      <c r="K216">
        <v>29</v>
      </c>
      <c r="L216" t="s">
        <v>2025</v>
      </c>
      <c r="M216" t="s">
        <v>2036</v>
      </c>
      <c r="N216" t="str">
        <f t="shared" si="6"/>
        <v>Fail</v>
      </c>
      <c r="O216" t="str">
        <f t="shared" si="7"/>
        <v>UnderAge</v>
      </c>
      <c r="P216" t="str" cm="1">
        <f t="array" ref="P216">_xlfn.IFS(K216&gt;90,"Excellent",K216&gt;80,"Very Good",K216&gt;70,"Good",K216&gt;=50,"Poor",K216&lt;50,"Fail")</f>
        <v>Fail</v>
      </c>
    </row>
    <row r="217" spans="1:16" x14ac:dyDescent="0.25">
      <c r="A217" t="s">
        <v>226</v>
      </c>
      <c r="B217" t="s">
        <v>1225</v>
      </c>
      <c r="C217" t="s">
        <v>2095</v>
      </c>
      <c r="D217" t="s">
        <v>2553</v>
      </c>
      <c r="E217" t="s">
        <v>2008</v>
      </c>
      <c r="F217">
        <v>15</v>
      </c>
      <c r="G217" t="s">
        <v>2009</v>
      </c>
      <c r="H217" t="s">
        <v>2016</v>
      </c>
      <c r="I217" t="s">
        <v>2019</v>
      </c>
      <c r="J217" t="s">
        <v>2023</v>
      </c>
      <c r="K217">
        <v>28</v>
      </c>
      <c r="L217" t="s">
        <v>2034</v>
      </c>
      <c r="M217" t="s">
        <v>2036</v>
      </c>
      <c r="N217" t="str">
        <f t="shared" si="6"/>
        <v>Fail</v>
      </c>
      <c r="O217" t="str">
        <f t="shared" si="7"/>
        <v>UnderAge</v>
      </c>
      <c r="P217" t="str" cm="1">
        <f t="array" ref="P217">_xlfn.IFS(K217&gt;90,"Excellent",K217&gt;80,"Very Good",K217&gt;70,"Good",K217&gt;=50,"Poor",K217&lt;50,"Fail")</f>
        <v>Fail</v>
      </c>
    </row>
    <row r="218" spans="1:16" x14ac:dyDescent="0.25">
      <c r="A218" t="s">
        <v>227</v>
      </c>
      <c r="B218" t="s">
        <v>1226</v>
      </c>
      <c r="C218" t="s">
        <v>2078</v>
      </c>
      <c r="D218" t="s">
        <v>2474</v>
      </c>
      <c r="E218" t="s">
        <v>2007</v>
      </c>
      <c r="F218">
        <v>16</v>
      </c>
      <c r="G218" t="s">
        <v>2011</v>
      </c>
      <c r="H218" t="s">
        <v>2014</v>
      </c>
      <c r="I218" t="s">
        <v>2019</v>
      </c>
      <c r="J218" t="s">
        <v>2024</v>
      </c>
      <c r="K218">
        <v>78</v>
      </c>
      <c r="L218" t="s">
        <v>2032</v>
      </c>
      <c r="M218" t="s">
        <v>2035</v>
      </c>
      <c r="N218" t="str">
        <f t="shared" si="6"/>
        <v>Pass</v>
      </c>
      <c r="O218" t="str">
        <f t="shared" si="7"/>
        <v>UnderAge</v>
      </c>
      <c r="P218" t="str" cm="1">
        <f t="array" ref="P218">_xlfn.IFS(K218&gt;90,"Excellent",K218&gt;80,"Very Good",K218&gt;70,"Good",K218&gt;=50,"Poor",K218&lt;50,"Fail")</f>
        <v>Good</v>
      </c>
    </row>
    <row r="219" spans="1:16" x14ac:dyDescent="0.25">
      <c r="A219" t="s">
        <v>228</v>
      </c>
      <c r="B219" t="s">
        <v>1227</v>
      </c>
      <c r="C219" t="s">
        <v>2210</v>
      </c>
      <c r="D219" t="s">
        <v>2554</v>
      </c>
      <c r="E219" t="s">
        <v>2008</v>
      </c>
      <c r="F219">
        <v>16</v>
      </c>
      <c r="G219" t="s">
        <v>2009</v>
      </c>
      <c r="H219" t="s">
        <v>2017</v>
      </c>
      <c r="I219" t="s">
        <v>2021</v>
      </c>
      <c r="J219" t="s">
        <v>2024</v>
      </c>
      <c r="K219">
        <v>14</v>
      </c>
      <c r="L219" t="s">
        <v>2029</v>
      </c>
      <c r="M219" t="s">
        <v>2036</v>
      </c>
      <c r="N219" t="str">
        <f t="shared" si="6"/>
        <v>Fail</v>
      </c>
      <c r="O219" t="str">
        <f t="shared" si="7"/>
        <v>UnderAge</v>
      </c>
      <c r="P219" t="str" cm="1">
        <f t="array" ref="P219">_xlfn.IFS(K219&gt;90,"Excellent",K219&gt;80,"Very Good",K219&gt;70,"Good",K219&gt;=50,"Poor",K219&lt;50,"Fail")</f>
        <v>Fail</v>
      </c>
    </row>
    <row r="220" spans="1:16" x14ac:dyDescent="0.25">
      <c r="A220" t="s">
        <v>229</v>
      </c>
      <c r="B220" t="s">
        <v>1228</v>
      </c>
      <c r="C220" t="s">
        <v>2071</v>
      </c>
      <c r="D220" t="s">
        <v>2555</v>
      </c>
      <c r="E220" t="s">
        <v>2007</v>
      </c>
      <c r="F220">
        <v>15</v>
      </c>
      <c r="G220" t="s">
        <v>2013</v>
      </c>
      <c r="H220" t="s">
        <v>2014</v>
      </c>
      <c r="I220" t="s">
        <v>2018</v>
      </c>
      <c r="J220" t="s">
        <v>2023</v>
      </c>
      <c r="K220">
        <v>1</v>
      </c>
      <c r="L220" t="s">
        <v>2034</v>
      </c>
      <c r="M220" t="s">
        <v>2036</v>
      </c>
      <c r="N220" t="str">
        <f t="shared" si="6"/>
        <v>Fail</v>
      </c>
      <c r="O220" t="str">
        <f t="shared" si="7"/>
        <v>UnderAge</v>
      </c>
      <c r="P220" t="str" cm="1">
        <f t="array" ref="P220">_xlfn.IFS(K220&gt;90,"Excellent",K220&gt;80,"Very Good",K220&gt;70,"Good",K220&gt;=50,"Poor",K220&lt;50,"Fail")</f>
        <v>Fail</v>
      </c>
    </row>
    <row r="221" spans="1:16" x14ac:dyDescent="0.25">
      <c r="A221" t="s">
        <v>230</v>
      </c>
      <c r="B221" t="s">
        <v>1229</v>
      </c>
      <c r="C221" t="s">
        <v>2095</v>
      </c>
      <c r="D221" t="s">
        <v>2556</v>
      </c>
      <c r="E221" t="s">
        <v>2008</v>
      </c>
      <c r="F221">
        <v>17</v>
      </c>
      <c r="G221" t="s">
        <v>2009</v>
      </c>
      <c r="H221" t="s">
        <v>2015</v>
      </c>
      <c r="I221" t="s">
        <v>2021</v>
      </c>
      <c r="J221" t="s">
        <v>2023</v>
      </c>
      <c r="K221">
        <v>85</v>
      </c>
      <c r="L221" t="s">
        <v>2026</v>
      </c>
      <c r="M221" t="s">
        <v>2035</v>
      </c>
      <c r="N221" t="str">
        <f t="shared" si="6"/>
        <v>Pass</v>
      </c>
      <c r="O221" t="str">
        <f t="shared" si="7"/>
        <v>UnderAge</v>
      </c>
      <c r="P221" t="str" cm="1">
        <f t="array" ref="P221">_xlfn.IFS(K221&gt;90,"Excellent",K221&gt;80,"Very Good",K221&gt;70,"Good",K221&gt;=50,"Poor",K221&lt;50,"Fail")</f>
        <v>Very Good</v>
      </c>
    </row>
    <row r="222" spans="1:16" x14ac:dyDescent="0.25">
      <c r="A222" t="s">
        <v>231</v>
      </c>
      <c r="B222" t="s">
        <v>1230</v>
      </c>
      <c r="C222" t="s">
        <v>2211</v>
      </c>
      <c r="D222" t="s">
        <v>2052</v>
      </c>
      <c r="E222" t="s">
        <v>2007</v>
      </c>
      <c r="F222">
        <v>16</v>
      </c>
      <c r="G222" t="s">
        <v>2011</v>
      </c>
      <c r="H222" t="s">
        <v>2015</v>
      </c>
      <c r="I222" t="s">
        <v>2021</v>
      </c>
      <c r="J222" t="s">
        <v>2023</v>
      </c>
      <c r="K222">
        <v>90</v>
      </c>
      <c r="L222" t="s">
        <v>2025</v>
      </c>
      <c r="M222" t="s">
        <v>2035</v>
      </c>
      <c r="N222" t="str">
        <f t="shared" si="6"/>
        <v>Pass</v>
      </c>
      <c r="O222" t="str">
        <f t="shared" si="7"/>
        <v>UnderAge</v>
      </c>
      <c r="P222" t="str" cm="1">
        <f t="array" ref="P222">_xlfn.IFS(K222&gt;90,"Excellent",K222&gt;80,"Very Good",K222&gt;70,"Good",K222&gt;=50,"Poor",K222&lt;50,"Fail")</f>
        <v>Very Good</v>
      </c>
    </row>
    <row r="223" spans="1:16" x14ac:dyDescent="0.25">
      <c r="A223" t="s">
        <v>232</v>
      </c>
      <c r="B223" t="s">
        <v>1231</v>
      </c>
      <c r="C223" t="s">
        <v>2212</v>
      </c>
      <c r="D223" t="s">
        <v>2484</v>
      </c>
      <c r="E223" t="s">
        <v>2007</v>
      </c>
      <c r="F223">
        <v>16</v>
      </c>
      <c r="G223" t="s">
        <v>2011</v>
      </c>
      <c r="H223" t="s">
        <v>2016</v>
      </c>
      <c r="I223" t="s">
        <v>2020</v>
      </c>
      <c r="J223" t="s">
        <v>2024</v>
      </c>
      <c r="K223">
        <v>0</v>
      </c>
      <c r="L223" t="s">
        <v>2031</v>
      </c>
      <c r="M223" t="s">
        <v>2036</v>
      </c>
      <c r="N223" t="str">
        <f t="shared" si="6"/>
        <v>Fail</v>
      </c>
      <c r="O223" t="str">
        <f t="shared" si="7"/>
        <v>UnderAge</v>
      </c>
      <c r="P223" t="str" cm="1">
        <f t="array" ref="P223">_xlfn.IFS(K223&gt;90,"Excellent",K223&gt;80,"Very Good",K223&gt;70,"Good",K223&gt;=50,"Poor",K223&lt;50,"Fail")</f>
        <v>Fail</v>
      </c>
    </row>
    <row r="224" spans="1:16" x14ac:dyDescent="0.25">
      <c r="A224" t="s">
        <v>233</v>
      </c>
      <c r="B224" t="s">
        <v>1232</v>
      </c>
      <c r="C224" t="s">
        <v>2070</v>
      </c>
      <c r="D224" t="s">
        <v>2557</v>
      </c>
      <c r="E224" t="s">
        <v>2007</v>
      </c>
      <c r="F224">
        <v>15</v>
      </c>
      <c r="G224" t="s">
        <v>2011</v>
      </c>
      <c r="H224" t="s">
        <v>2015</v>
      </c>
      <c r="I224" t="s">
        <v>2020</v>
      </c>
      <c r="J224" t="s">
        <v>2023</v>
      </c>
      <c r="K224">
        <v>80</v>
      </c>
      <c r="L224" t="s">
        <v>2027</v>
      </c>
      <c r="M224" t="s">
        <v>2035</v>
      </c>
      <c r="N224" t="str">
        <f t="shared" si="6"/>
        <v>Pass</v>
      </c>
      <c r="O224" t="str">
        <f t="shared" si="7"/>
        <v>UnderAge</v>
      </c>
      <c r="P224" t="str" cm="1">
        <f t="array" ref="P224">_xlfn.IFS(K224&gt;90,"Excellent",K224&gt;80,"Very Good",K224&gt;70,"Good",K224&gt;=50,"Poor",K224&lt;50,"Fail")</f>
        <v>Good</v>
      </c>
    </row>
    <row r="225" spans="1:16" x14ac:dyDescent="0.25">
      <c r="A225" t="s">
        <v>234</v>
      </c>
      <c r="B225" t="s">
        <v>1233</v>
      </c>
      <c r="C225" t="s">
        <v>2213</v>
      </c>
      <c r="D225" t="s">
        <v>2558</v>
      </c>
      <c r="E225" t="s">
        <v>2008</v>
      </c>
      <c r="F225">
        <v>18</v>
      </c>
      <c r="G225" t="s">
        <v>2009</v>
      </c>
      <c r="H225" t="s">
        <v>2016</v>
      </c>
      <c r="I225" t="s">
        <v>2021</v>
      </c>
      <c r="J225" t="s">
        <v>2023</v>
      </c>
      <c r="K225">
        <v>80</v>
      </c>
      <c r="L225" t="s">
        <v>2026</v>
      </c>
      <c r="M225" t="s">
        <v>2035</v>
      </c>
      <c r="N225" t="str">
        <f t="shared" si="6"/>
        <v>Pass</v>
      </c>
      <c r="O225" t="str">
        <f t="shared" si="7"/>
        <v>Adult</v>
      </c>
      <c r="P225" t="str" cm="1">
        <f t="array" ref="P225">_xlfn.IFS(K225&gt;90,"Excellent",K225&gt;80,"Very Good",K225&gt;70,"Good",K225&gt;=50,"Poor",K225&lt;50,"Fail")</f>
        <v>Good</v>
      </c>
    </row>
    <row r="226" spans="1:16" x14ac:dyDescent="0.25">
      <c r="A226" t="s">
        <v>235</v>
      </c>
      <c r="B226" t="s">
        <v>1234</v>
      </c>
      <c r="C226" t="s">
        <v>2214</v>
      </c>
      <c r="D226" t="s">
        <v>2551</v>
      </c>
      <c r="E226" t="s">
        <v>2007</v>
      </c>
      <c r="F226">
        <v>14</v>
      </c>
      <c r="G226" t="s">
        <v>2009</v>
      </c>
      <c r="H226" t="s">
        <v>2015</v>
      </c>
      <c r="I226" t="s">
        <v>2021</v>
      </c>
      <c r="J226" t="s">
        <v>2023</v>
      </c>
      <c r="K226">
        <v>68</v>
      </c>
      <c r="L226" t="s">
        <v>2033</v>
      </c>
      <c r="M226" t="s">
        <v>2035</v>
      </c>
      <c r="N226" t="str">
        <f t="shared" si="6"/>
        <v>Pass</v>
      </c>
      <c r="O226" t="str">
        <f t="shared" si="7"/>
        <v>UnderAge</v>
      </c>
      <c r="P226" t="str" cm="1">
        <f t="array" ref="P226">_xlfn.IFS(K226&gt;90,"Excellent",K226&gt;80,"Very Good",K226&gt;70,"Good",K226&gt;=50,"Poor",K226&lt;50,"Fail")</f>
        <v>Poor</v>
      </c>
    </row>
    <row r="227" spans="1:16" x14ac:dyDescent="0.25">
      <c r="A227" t="s">
        <v>236</v>
      </c>
      <c r="B227" t="s">
        <v>1235</v>
      </c>
      <c r="C227" t="s">
        <v>2131</v>
      </c>
      <c r="D227" t="s">
        <v>2551</v>
      </c>
      <c r="E227" t="s">
        <v>2007</v>
      </c>
      <c r="F227">
        <v>16</v>
      </c>
      <c r="G227" t="s">
        <v>2013</v>
      </c>
      <c r="H227" t="s">
        <v>2016</v>
      </c>
      <c r="I227" t="s">
        <v>2022</v>
      </c>
      <c r="J227" t="s">
        <v>2023</v>
      </c>
      <c r="K227">
        <v>11</v>
      </c>
      <c r="L227" t="s">
        <v>2028</v>
      </c>
      <c r="M227" t="s">
        <v>2036</v>
      </c>
      <c r="N227" t="str">
        <f t="shared" si="6"/>
        <v>Fail</v>
      </c>
      <c r="O227" t="str">
        <f t="shared" si="7"/>
        <v>UnderAge</v>
      </c>
      <c r="P227" t="str" cm="1">
        <f t="array" ref="P227">_xlfn.IFS(K227&gt;90,"Excellent",K227&gt;80,"Very Good",K227&gt;70,"Good",K227&gt;=50,"Poor",K227&lt;50,"Fail")</f>
        <v>Fail</v>
      </c>
    </row>
    <row r="228" spans="1:16" x14ac:dyDescent="0.25">
      <c r="A228" t="s">
        <v>237</v>
      </c>
      <c r="B228" t="s">
        <v>1236</v>
      </c>
      <c r="C228" t="s">
        <v>2215</v>
      </c>
      <c r="D228" t="s">
        <v>2050</v>
      </c>
      <c r="E228" t="s">
        <v>2007</v>
      </c>
      <c r="F228">
        <v>16</v>
      </c>
      <c r="G228" t="s">
        <v>2012</v>
      </c>
      <c r="H228" t="s">
        <v>2015</v>
      </c>
      <c r="I228" t="s">
        <v>2018</v>
      </c>
      <c r="J228" t="s">
        <v>2023</v>
      </c>
      <c r="K228">
        <v>60</v>
      </c>
      <c r="L228" t="s">
        <v>2028</v>
      </c>
      <c r="M228" t="s">
        <v>2035</v>
      </c>
      <c r="N228" t="str">
        <f t="shared" si="6"/>
        <v>Pass</v>
      </c>
      <c r="O228" t="str">
        <f t="shared" si="7"/>
        <v>UnderAge</v>
      </c>
      <c r="P228" t="str" cm="1">
        <f t="array" ref="P228">_xlfn.IFS(K228&gt;90,"Excellent",K228&gt;80,"Very Good",K228&gt;70,"Good",K228&gt;=50,"Poor",K228&lt;50,"Fail")</f>
        <v>Poor</v>
      </c>
    </row>
    <row r="229" spans="1:16" x14ac:dyDescent="0.25">
      <c r="A229" t="s">
        <v>238</v>
      </c>
      <c r="B229" t="s">
        <v>1237</v>
      </c>
      <c r="C229" t="s">
        <v>2216</v>
      </c>
      <c r="D229" t="s">
        <v>2559</v>
      </c>
      <c r="E229" t="s">
        <v>2008</v>
      </c>
      <c r="F229">
        <v>14</v>
      </c>
      <c r="G229" t="s">
        <v>2011</v>
      </c>
      <c r="H229" t="s">
        <v>2014</v>
      </c>
      <c r="I229" t="s">
        <v>2022</v>
      </c>
      <c r="J229" t="s">
        <v>2024</v>
      </c>
      <c r="K229">
        <v>25</v>
      </c>
      <c r="L229" t="s">
        <v>2027</v>
      </c>
      <c r="M229" t="s">
        <v>2036</v>
      </c>
      <c r="N229" t="str">
        <f t="shared" si="6"/>
        <v>Fail</v>
      </c>
      <c r="O229" t="str">
        <f t="shared" si="7"/>
        <v>UnderAge</v>
      </c>
      <c r="P229" t="str" cm="1">
        <f t="array" ref="P229">_xlfn.IFS(K229&gt;90,"Excellent",K229&gt;80,"Very Good",K229&gt;70,"Good",K229&gt;=50,"Poor",K229&lt;50,"Fail")</f>
        <v>Fail</v>
      </c>
    </row>
    <row r="230" spans="1:16" x14ac:dyDescent="0.25">
      <c r="A230" t="s">
        <v>239</v>
      </c>
      <c r="B230" t="s">
        <v>1238</v>
      </c>
      <c r="C230" t="s">
        <v>2217</v>
      </c>
      <c r="D230" t="s">
        <v>2560</v>
      </c>
      <c r="E230" t="s">
        <v>2008</v>
      </c>
      <c r="F230">
        <v>18</v>
      </c>
      <c r="G230" t="s">
        <v>2012</v>
      </c>
      <c r="H230" t="s">
        <v>2015</v>
      </c>
      <c r="I230" t="s">
        <v>2021</v>
      </c>
      <c r="J230" t="s">
        <v>2023</v>
      </c>
      <c r="K230">
        <v>38</v>
      </c>
      <c r="L230" t="s">
        <v>2031</v>
      </c>
      <c r="M230" t="s">
        <v>2036</v>
      </c>
      <c r="N230" t="str">
        <f t="shared" si="6"/>
        <v>Fail</v>
      </c>
      <c r="O230" t="str">
        <f t="shared" si="7"/>
        <v>Adult</v>
      </c>
      <c r="P230" t="str" cm="1">
        <f t="array" ref="P230">_xlfn.IFS(K230&gt;90,"Excellent",K230&gt;80,"Very Good",K230&gt;70,"Good",K230&gt;=50,"Poor",K230&lt;50,"Fail")</f>
        <v>Fail</v>
      </c>
    </row>
    <row r="231" spans="1:16" x14ac:dyDescent="0.25">
      <c r="A231" t="s">
        <v>240</v>
      </c>
      <c r="B231" t="s">
        <v>1239</v>
      </c>
      <c r="C231" t="s">
        <v>2137</v>
      </c>
      <c r="D231" t="s">
        <v>2274</v>
      </c>
      <c r="E231" t="s">
        <v>2007</v>
      </c>
      <c r="F231">
        <v>14</v>
      </c>
      <c r="G231" t="s">
        <v>2013</v>
      </c>
      <c r="H231" t="s">
        <v>2016</v>
      </c>
      <c r="I231" t="s">
        <v>2019</v>
      </c>
      <c r="J231" t="s">
        <v>2024</v>
      </c>
      <c r="K231">
        <v>15</v>
      </c>
      <c r="L231" t="s">
        <v>2026</v>
      </c>
      <c r="M231" t="s">
        <v>2036</v>
      </c>
      <c r="N231" t="str">
        <f t="shared" si="6"/>
        <v>Fail</v>
      </c>
      <c r="O231" t="str">
        <f t="shared" si="7"/>
        <v>UnderAge</v>
      </c>
      <c r="P231" t="str" cm="1">
        <f t="array" ref="P231">_xlfn.IFS(K231&gt;90,"Excellent",K231&gt;80,"Very Good",K231&gt;70,"Good",K231&gt;=50,"Poor",K231&lt;50,"Fail")</f>
        <v>Fail</v>
      </c>
    </row>
    <row r="232" spans="1:16" x14ac:dyDescent="0.25">
      <c r="A232" t="s">
        <v>241</v>
      </c>
      <c r="B232" t="s">
        <v>1240</v>
      </c>
      <c r="C232" t="s">
        <v>2135</v>
      </c>
      <c r="D232" t="s">
        <v>2561</v>
      </c>
      <c r="E232" t="s">
        <v>2008</v>
      </c>
      <c r="F232">
        <v>14</v>
      </c>
      <c r="G232" t="s">
        <v>2012</v>
      </c>
      <c r="H232" t="s">
        <v>2014</v>
      </c>
      <c r="I232" t="s">
        <v>2018</v>
      </c>
      <c r="J232" t="s">
        <v>2023</v>
      </c>
      <c r="K232">
        <v>6</v>
      </c>
      <c r="L232" t="s">
        <v>2031</v>
      </c>
      <c r="M232" t="s">
        <v>2036</v>
      </c>
      <c r="N232" t="str">
        <f t="shared" si="6"/>
        <v>Fail</v>
      </c>
      <c r="O232" t="str">
        <f t="shared" si="7"/>
        <v>UnderAge</v>
      </c>
      <c r="P232" t="str" cm="1">
        <f t="array" ref="P232">_xlfn.IFS(K232&gt;90,"Excellent",K232&gt;80,"Very Good",K232&gt;70,"Good",K232&gt;=50,"Poor",K232&lt;50,"Fail")</f>
        <v>Fail</v>
      </c>
    </row>
    <row r="233" spans="1:16" x14ac:dyDescent="0.25">
      <c r="A233" t="s">
        <v>242</v>
      </c>
      <c r="B233" t="s">
        <v>1241</v>
      </c>
      <c r="C233" t="s">
        <v>2183</v>
      </c>
      <c r="D233" t="s">
        <v>2562</v>
      </c>
      <c r="E233" t="s">
        <v>2008</v>
      </c>
      <c r="F233">
        <v>16</v>
      </c>
      <c r="G233" t="s">
        <v>2010</v>
      </c>
      <c r="H233" t="s">
        <v>2014</v>
      </c>
      <c r="I233" t="s">
        <v>2020</v>
      </c>
      <c r="J233" t="s">
        <v>2023</v>
      </c>
      <c r="K233">
        <v>59</v>
      </c>
      <c r="L233" t="s">
        <v>2026</v>
      </c>
      <c r="M233" t="s">
        <v>2035</v>
      </c>
      <c r="N233" t="str">
        <f t="shared" si="6"/>
        <v>Pass</v>
      </c>
      <c r="O233" t="str">
        <f t="shared" si="7"/>
        <v>UnderAge</v>
      </c>
      <c r="P233" t="str" cm="1">
        <f t="array" ref="P233">_xlfn.IFS(K233&gt;90,"Excellent",K233&gt;80,"Very Good",K233&gt;70,"Good",K233&gt;=50,"Poor",K233&lt;50,"Fail")</f>
        <v>Poor</v>
      </c>
    </row>
    <row r="234" spans="1:16" x14ac:dyDescent="0.25">
      <c r="A234" t="s">
        <v>243</v>
      </c>
      <c r="B234" t="s">
        <v>1242</v>
      </c>
      <c r="C234" t="s">
        <v>2183</v>
      </c>
      <c r="D234" t="s">
        <v>2563</v>
      </c>
      <c r="E234" t="s">
        <v>2008</v>
      </c>
      <c r="F234">
        <v>18</v>
      </c>
      <c r="G234" t="s">
        <v>2012</v>
      </c>
      <c r="H234" t="s">
        <v>2015</v>
      </c>
      <c r="I234" t="s">
        <v>2022</v>
      </c>
      <c r="J234" t="s">
        <v>2023</v>
      </c>
      <c r="K234">
        <v>30</v>
      </c>
      <c r="L234" t="s">
        <v>2031</v>
      </c>
      <c r="M234" t="s">
        <v>2036</v>
      </c>
      <c r="N234" t="str">
        <f t="shared" si="6"/>
        <v>Fail</v>
      </c>
      <c r="O234" t="str">
        <f t="shared" si="7"/>
        <v>Adult</v>
      </c>
      <c r="P234" t="str" cm="1">
        <f t="array" ref="P234">_xlfn.IFS(K234&gt;90,"Excellent",K234&gt;80,"Very Good",K234&gt;70,"Good",K234&gt;=50,"Poor",K234&lt;50,"Fail")</f>
        <v>Fail</v>
      </c>
    </row>
    <row r="235" spans="1:16" x14ac:dyDescent="0.25">
      <c r="A235" t="s">
        <v>244</v>
      </c>
      <c r="B235" t="s">
        <v>1243</v>
      </c>
      <c r="C235" t="s">
        <v>2069</v>
      </c>
      <c r="D235" t="s">
        <v>2484</v>
      </c>
      <c r="E235" t="s">
        <v>2007</v>
      </c>
      <c r="F235">
        <v>18</v>
      </c>
      <c r="G235" t="s">
        <v>2012</v>
      </c>
      <c r="H235" t="s">
        <v>2017</v>
      </c>
      <c r="I235" t="s">
        <v>2019</v>
      </c>
      <c r="J235" t="s">
        <v>2023</v>
      </c>
      <c r="K235">
        <v>48</v>
      </c>
      <c r="L235" t="s">
        <v>2032</v>
      </c>
      <c r="M235" t="s">
        <v>2036</v>
      </c>
      <c r="N235" t="str">
        <f t="shared" si="6"/>
        <v>Fail</v>
      </c>
      <c r="O235" t="str">
        <f t="shared" si="7"/>
        <v>Adult</v>
      </c>
      <c r="P235" t="str" cm="1">
        <f t="array" ref="P235">_xlfn.IFS(K235&gt;90,"Excellent",K235&gt;80,"Very Good",K235&gt;70,"Good",K235&gt;=50,"Poor",K235&lt;50,"Fail")</f>
        <v>Fail</v>
      </c>
    </row>
    <row r="236" spans="1:16" x14ac:dyDescent="0.25">
      <c r="A236" t="s">
        <v>245</v>
      </c>
      <c r="B236" t="s">
        <v>1244</v>
      </c>
      <c r="C236" t="s">
        <v>2218</v>
      </c>
      <c r="D236" t="s">
        <v>2059</v>
      </c>
      <c r="E236" t="s">
        <v>2008</v>
      </c>
      <c r="F236">
        <v>16</v>
      </c>
      <c r="G236" t="s">
        <v>2009</v>
      </c>
      <c r="H236" t="s">
        <v>2017</v>
      </c>
      <c r="I236" t="s">
        <v>2018</v>
      </c>
      <c r="J236" t="s">
        <v>2023</v>
      </c>
      <c r="K236">
        <v>19</v>
      </c>
      <c r="L236" t="s">
        <v>2030</v>
      </c>
      <c r="M236" t="s">
        <v>2036</v>
      </c>
      <c r="N236" t="str">
        <f t="shared" si="6"/>
        <v>Fail</v>
      </c>
      <c r="O236" t="str">
        <f t="shared" si="7"/>
        <v>UnderAge</v>
      </c>
      <c r="P236" t="str" cm="1">
        <f t="array" ref="P236">_xlfn.IFS(K236&gt;90,"Excellent",K236&gt;80,"Very Good",K236&gt;70,"Good",K236&gt;=50,"Poor",K236&lt;50,"Fail")</f>
        <v>Fail</v>
      </c>
    </row>
    <row r="237" spans="1:16" x14ac:dyDescent="0.25">
      <c r="A237" t="s">
        <v>246</v>
      </c>
      <c r="B237" t="s">
        <v>1245</v>
      </c>
      <c r="C237" t="s">
        <v>2083</v>
      </c>
      <c r="D237" t="s">
        <v>2557</v>
      </c>
      <c r="E237" t="s">
        <v>2008</v>
      </c>
      <c r="F237">
        <v>17</v>
      </c>
      <c r="G237" t="s">
        <v>2013</v>
      </c>
      <c r="H237" t="s">
        <v>2017</v>
      </c>
      <c r="I237" t="s">
        <v>2020</v>
      </c>
      <c r="J237" t="s">
        <v>2023</v>
      </c>
      <c r="K237">
        <v>88</v>
      </c>
      <c r="L237" t="s">
        <v>2031</v>
      </c>
      <c r="M237" t="s">
        <v>2035</v>
      </c>
      <c r="N237" t="str">
        <f t="shared" si="6"/>
        <v>Pass</v>
      </c>
      <c r="O237" t="str">
        <f t="shared" si="7"/>
        <v>UnderAge</v>
      </c>
      <c r="P237" t="str" cm="1">
        <f t="array" ref="P237">_xlfn.IFS(K237&gt;90,"Excellent",K237&gt;80,"Very Good",K237&gt;70,"Good",K237&gt;=50,"Poor",K237&lt;50,"Fail")</f>
        <v>Very Good</v>
      </c>
    </row>
    <row r="238" spans="1:16" x14ac:dyDescent="0.25">
      <c r="A238" t="s">
        <v>247</v>
      </c>
      <c r="B238" t="s">
        <v>1246</v>
      </c>
      <c r="C238" t="s">
        <v>2219</v>
      </c>
      <c r="D238" t="s">
        <v>2564</v>
      </c>
      <c r="E238" t="s">
        <v>2008</v>
      </c>
      <c r="F238">
        <v>17</v>
      </c>
      <c r="G238" t="s">
        <v>2009</v>
      </c>
      <c r="H238" t="s">
        <v>2014</v>
      </c>
      <c r="I238" t="s">
        <v>2020</v>
      </c>
      <c r="J238" t="s">
        <v>2023</v>
      </c>
      <c r="K238">
        <v>46</v>
      </c>
      <c r="L238" t="s">
        <v>2029</v>
      </c>
      <c r="M238" t="s">
        <v>2036</v>
      </c>
      <c r="N238" t="str">
        <f t="shared" si="6"/>
        <v>Fail</v>
      </c>
      <c r="O238" t="str">
        <f t="shared" si="7"/>
        <v>UnderAge</v>
      </c>
      <c r="P238" t="str" cm="1">
        <f t="array" ref="P238">_xlfn.IFS(K238&gt;90,"Excellent",K238&gt;80,"Very Good",K238&gt;70,"Good",K238&gt;=50,"Poor",K238&lt;50,"Fail")</f>
        <v>Fail</v>
      </c>
    </row>
    <row r="239" spans="1:16" x14ac:dyDescent="0.25">
      <c r="A239" t="s">
        <v>248</v>
      </c>
      <c r="B239" t="s">
        <v>1247</v>
      </c>
      <c r="C239" t="s">
        <v>2220</v>
      </c>
      <c r="D239" t="s">
        <v>2477</v>
      </c>
      <c r="E239" t="s">
        <v>2007</v>
      </c>
      <c r="F239">
        <v>18</v>
      </c>
      <c r="G239" t="s">
        <v>2013</v>
      </c>
      <c r="H239" t="s">
        <v>2017</v>
      </c>
      <c r="I239" t="s">
        <v>2018</v>
      </c>
      <c r="J239" t="s">
        <v>2023</v>
      </c>
      <c r="K239">
        <v>3</v>
      </c>
      <c r="L239" t="s">
        <v>2027</v>
      </c>
      <c r="M239" t="s">
        <v>2036</v>
      </c>
      <c r="N239" t="str">
        <f t="shared" si="6"/>
        <v>Fail</v>
      </c>
      <c r="O239" t="str">
        <f t="shared" si="7"/>
        <v>Adult</v>
      </c>
      <c r="P239" t="str" cm="1">
        <f t="array" ref="P239">_xlfn.IFS(K239&gt;90,"Excellent",K239&gt;80,"Very Good",K239&gt;70,"Good",K239&gt;=50,"Poor",K239&lt;50,"Fail")</f>
        <v>Fail</v>
      </c>
    </row>
    <row r="240" spans="1:16" x14ac:dyDescent="0.25">
      <c r="A240" t="s">
        <v>249</v>
      </c>
      <c r="B240" t="s">
        <v>1248</v>
      </c>
      <c r="C240" t="s">
        <v>2218</v>
      </c>
      <c r="D240" t="s">
        <v>2185</v>
      </c>
      <c r="E240" t="s">
        <v>2008</v>
      </c>
      <c r="F240">
        <v>16</v>
      </c>
      <c r="G240" t="s">
        <v>2011</v>
      </c>
      <c r="H240" t="s">
        <v>2017</v>
      </c>
      <c r="I240" t="s">
        <v>2022</v>
      </c>
      <c r="J240" t="s">
        <v>2024</v>
      </c>
      <c r="K240">
        <v>54</v>
      </c>
      <c r="L240" t="s">
        <v>2029</v>
      </c>
      <c r="M240" t="s">
        <v>2035</v>
      </c>
      <c r="N240" t="str">
        <f t="shared" si="6"/>
        <v>Pass</v>
      </c>
      <c r="O240" t="str">
        <f t="shared" si="7"/>
        <v>UnderAge</v>
      </c>
      <c r="P240" t="str" cm="1">
        <f t="array" ref="P240">_xlfn.IFS(K240&gt;90,"Excellent",K240&gt;80,"Very Good",K240&gt;70,"Good",K240&gt;=50,"Poor",K240&lt;50,"Fail")</f>
        <v>Poor</v>
      </c>
    </row>
    <row r="241" spans="1:16" x14ac:dyDescent="0.25">
      <c r="A241" t="s">
        <v>250</v>
      </c>
      <c r="B241" t="s">
        <v>1249</v>
      </c>
      <c r="C241" t="s">
        <v>2221</v>
      </c>
      <c r="D241" t="s">
        <v>2565</v>
      </c>
      <c r="E241" t="s">
        <v>2008</v>
      </c>
      <c r="F241">
        <v>17</v>
      </c>
      <c r="G241" t="s">
        <v>2009</v>
      </c>
      <c r="H241" t="s">
        <v>2016</v>
      </c>
      <c r="I241" t="s">
        <v>2018</v>
      </c>
      <c r="J241" t="s">
        <v>2023</v>
      </c>
      <c r="K241">
        <v>85</v>
      </c>
      <c r="L241" t="s">
        <v>2033</v>
      </c>
      <c r="M241" t="s">
        <v>2035</v>
      </c>
      <c r="N241" t="str">
        <f t="shared" si="6"/>
        <v>Pass</v>
      </c>
      <c r="O241" t="str">
        <f t="shared" si="7"/>
        <v>UnderAge</v>
      </c>
      <c r="P241" t="str" cm="1">
        <f t="array" ref="P241">_xlfn.IFS(K241&gt;90,"Excellent",K241&gt;80,"Very Good",K241&gt;70,"Good",K241&gt;=50,"Poor",K241&lt;50,"Fail")</f>
        <v>Very Good</v>
      </c>
    </row>
    <row r="242" spans="1:16" x14ac:dyDescent="0.25">
      <c r="A242" t="s">
        <v>251</v>
      </c>
      <c r="B242" t="s">
        <v>1250</v>
      </c>
      <c r="C242" t="s">
        <v>2122</v>
      </c>
      <c r="D242" t="s">
        <v>2462</v>
      </c>
      <c r="E242" t="s">
        <v>2007</v>
      </c>
      <c r="F242">
        <v>17</v>
      </c>
      <c r="G242" t="s">
        <v>2013</v>
      </c>
      <c r="H242" t="s">
        <v>2015</v>
      </c>
      <c r="I242" t="s">
        <v>2021</v>
      </c>
      <c r="J242" t="s">
        <v>2024</v>
      </c>
      <c r="K242">
        <v>16</v>
      </c>
      <c r="L242" t="s">
        <v>2025</v>
      </c>
      <c r="M242" t="s">
        <v>2036</v>
      </c>
      <c r="N242" t="str">
        <f t="shared" si="6"/>
        <v>Fail</v>
      </c>
      <c r="O242" t="str">
        <f t="shared" si="7"/>
        <v>UnderAge</v>
      </c>
      <c r="P242" t="str" cm="1">
        <f t="array" ref="P242">_xlfn.IFS(K242&gt;90,"Excellent",K242&gt;80,"Very Good",K242&gt;70,"Good",K242&gt;=50,"Poor",K242&lt;50,"Fail")</f>
        <v>Fail</v>
      </c>
    </row>
    <row r="243" spans="1:16" x14ac:dyDescent="0.25">
      <c r="A243" t="s">
        <v>252</v>
      </c>
      <c r="B243" t="s">
        <v>1251</v>
      </c>
      <c r="C243" t="s">
        <v>2113</v>
      </c>
      <c r="D243" t="s">
        <v>2251</v>
      </c>
      <c r="E243" t="s">
        <v>2008</v>
      </c>
      <c r="F243">
        <v>18</v>
      </c>
      <c r="G243" t="s">
        <v>2009</v>
      </c>
      <c r="H243" t="s">
        <v>2015</v>
      </c>
      <c r="I243" t="s">
        <v>2019</v>
      </c>
      <c r="J243" t="s">
        <v>2023</v>
      </c>
      <c r="K243">
        <v>28</v>
      </c>
      <c r="L243" t="s">
        <v>2033</v>
      </c>
      <c r="M243" t="s">
        <v>2036</v>
      </c>
      <c r="N243" t="str">
        <f t="shared" si="6"/>
        <v>Fail</v>
      </c>
      <c r="O243" t="str">
        <f t="shared" si="7"/>
        <v>Adult</v>
      </c>
      <c r="P243" t="str" cm="1">
        <f t="array" ref="P243">_xlfn.IFS(K243&gt;90,"Excellent",K243&gt;80,"Very Good",K243&gt;70,"Good",K243&gt;=50,"Poor",K243&lt;50,"Fail")</f>
        <v>Fail</v>
      </c>
    </row>
    <row r="244" spans="1:16" x14ac:dyDescent="0.25">
      <c r="A244" t="s">
        <v>253</v>
      </c>
      <c r="B244" t="s">
        <v>1252</v>
      </c>
      <c r="C244" t="s">
        <v>2068</v>
      </c>
      <c r="D244" t="s">
        <v>2566</v>
      </c>
      <c r="E244" t="s">
        <v>2007</v>
      </c>
      <c r="F244">
        <v>15</v>
      </c>
      <c r="G244" t="s">
        <v>2009</v>
      </c>
      <c r="H244" t="s">
        <v>2016</v>
      </c>
      <c r="I244" t="s">
        <v>2020</v>
      </c>
      <c r="J244" t="s">
        <v>2024</v>
      </c>
      <c r="K244">
        <v>26</v>
      </c>
      <c r="L244" t="s">
        <v>2030</v>
      </c>
      <c r="M244" t="s">
        <v>2036</v>
      </c>
      <c r="N244" t="str">
        <f t="shared" si="6"/>
        <v>Fail</v>
      </c>
      <c r="O244" t="str">
        <f t="shared" si="7"/>
        <v>UnderAge</v>
      </c>
      <c r="P244" t="str" cm="1">
        <f t="array" ref="P244">_xlfn.IFS(K244&gt;90,"Excellent",K244&gt;80,"Very Good",K244&gt;70,"Good",K244&gt;=50,"Poor",K244&lt;50,"Fail")</f>
        <v>Fail</v>
      </c>
    </row>
    <row r="245" spans="1:16" x14ac:dyDescent="0.25">
      <c r="A245" t="s">
        <v>254</v>
      </c>
      <c r="B245" t="s">
        <v>1253</v>
      </c>
      <c r="C245" t="s">
        <v>2222</v>
      </c>
      <c r="D245" t="s">
        <v>2567</v>
      </c>
      <c r="E245" t="s">
        <v>2007</v>
      </c>
      <c r="F245">
        <v>15</v>
      </c>
      <c r="G245" t="s">
        <v>2011</v>
      </c>
      <c r="H245" t="s">
        <v>2014</v>
      </c>
      <c r="I245" t="s">
        <v>2018</v>
      </c>
      <c r="J245" t="s">
        <v>2024</v>
      </c>
      <c r="K245">
        <v>55</v>
      </c>
      <c r="L245" t="s">
        <v>2033</v>
      </c>
      <c r="M245" t="s">
        <v>2035</v>
      </c>
      <c r="N245" t="str">
        <f t="shared" si="6"/>
        <v>Pass</v>
      </c>
      <c r="O245" t="str">
        <f t="shared" si="7"/>
        <v>UnderAge</v>
      </c>
      <c r="P245" t="str" cm="1">
        <f t="array" ref="P245">_xlfn.IFS(K245&gt;90,"Excellent",K245&gt;80,"Very Good",K245&gt;70,"Good",K245&gt;=50,"Poor",K245&lt;50,"Fail")</f>
        <v>Poor</v>
      </c>
    </row>
    <row r="246" spans="1:16" x14ac:dyDescent="0.25">
      <c r="A246" t="s">
        <v>255</v>
      </c>
      <c r="B246" t="s">
        <v>1254</v>
      </c>
      <c r="C246" t="s">
        <v>2223</v>
      </c>
      <c r="D246" t="s">
        <v>2274</v>
      </c>
      <c r="E246" t="s">
        <v>2007</v>
      </c>
      <c r="F246">
        <v>16</v>
      </c>
      <c r="G246" t="s">
        <v>2011</v>
      </c>
      <c r="H246" t="s">
        <v>2016</v>
      </c>
      <c r="I246" t="s">
        <v>2019</v>
      </c>
      <c r="J246" t="s">
        <v>2024</v>
      </c>
      <c r="K246">
        <v>7</v>
      </c>
      <c r="L246" t="s">
        <v>2030</v>
      </c>
      <c r="M246" t="s">
        <v>2036</v>
      </c>
      <c r="N246" t="str">
        <f t="shared" si="6"/>
        <v>Fail</v>
      </c>
      <c r="O246" t="str">
        <f t="shared" si="7"/>
        <v>UnderAge</v>
      </c>
      <c r="P246" t="str" cm="1">
        <f t="array" ref="P246">_xlfn.IFS(K246&gt;90,"Excellent",K246&gt;80,"Very Good",K246&gt;70,"Good",K246&gt;=50,"Poor",K246&lt;50,"Fail")</f>
        <v>Fail</v>
      </c>
    </row>
    <row r="247" spans="1:16" x14ac:dyDescent="0.25">
      <c r="A247" t="s">
        <v>256</v>
      </c>
      <c r="B247" t="s">
        <v>1255</v>
      </c>
      <c r="C247" t="s">
        <v>2152</v>
      </c>
      <c r="D247" t="s">
        <v>2272</v>
      </c>
      <c r="E247" t="s">
        <v>2007</v>
      </c>
      <c r="F247">
        <v>15</v>
      </c>
      <c r="G247" t="s">
        <v>2009</v>
      </c>
      <c r="H247" t="s">
        <v>2014</v>
      </c>
      <c r="I247" t="s">
        <v>2018</v>
      </c>
      <c r="J247" t="s">
        <v>2024</v>
      </c>
      <c r="K247">
        <v>96</v>
      </c>
      <c r="L247" t="s">
        <v>2032</v>
      </c>
      <c r="M247" t="s">
        <v>2035</v>
      </c>
      <c r="N247" t="str">
        <f t="shared" si="6"/>
        <v>Pass</v>
      </c>
      <c r="O247" t="str">
        <f t="shared" si="7"/>
        <v>UnderAge</v>
      </c>
      <c r="P247" t="str" cm="1">
        <f t="array" ref="P247">_xlfn.IFS(K247&gt;90,"Excellent",K247&gt;80,"Very Good",K247&gt;70,"Good",K247&gt;=50,"Poor",K247&lt;50,"Fail")</f>
        <v>Excellent</v>
      </c>
    </row>
    <row r="248" spans="1:16" x14ac:dyDescent="0.25">
      <c r="A248" t="s">
        <v>257</v>
      </c>
      <c r="B248" t="s">
        <v>1256</v>
      </c>
      <c r="C248" t="s">
        <v>2071</v>
      </c>
      <c r="D248" t="s">
        <v>2568</v>
      </c>
      <c r="E248" t="s">
        <v>2007</v>
      </c>
      <c r="F248">
        <v>15</v>
      </c>
      <c r="G248" t="s">
        <v>2012</v>
      </c>
      <c r="H248" t="s">
        <v>2014</v>
      </c>
      <c r="I248" t="s">
        <v>2020</v>
      </c>
      <c r="J248" t="s">
        <v>2023</v>
      </c>
      <c r="K248">
        <v>13</v>
      </c>
      <c r="L248" t="s">
        <v>2032</v>
      </c>
      <c r="M248" t="s">
        <v>2036</v>
      </c>
      <c r="N248" t="str">
        <f t="shared" si="6"/>
        <v>Fail</v>
      </c>
      <c r="O248" t="str">
        <f t="shared" si="7"/>
        <v>UnderAge</v>
      </c>
      <c r="P248" t="str" cm="1">
        <f t="array" ref="P248">_xlfn.IFS(K248&gt;90,"Excellent",K248&gt;80,"Very Good",K248&gt;70,"Good",K248&gt;=50,"Poor",K248&lt;50,"Fail")</f>
        <v>Fail</v>
      </c>
    </row>
    <row r="249" spans="1:16" x14ac:dyDescent="0.25">
      <c r="A249" t="s">
        <v>258</v>
      </c>
      <c r="B249" t="s">
        <v>1257</v>
      </c>
      <c r="C249" t="s">
        <v>2224</v>
      </c>
      <c r="D249" t="s">
        <v>2337</v>
      </c>
      <c r="E249" t="s">
        <v>2007</v>
      </c>
      <c r="F249">
        <v>18</v>
      </c>
      <c r="G249" t="s">
        <v>2011</v>
      </c>
      <c r="H249" t="s">
        <v>2017</v>
      </c>
      <c r="I249" t="s">
        <v>2022</v>
      </c>
      <c r="J249" t="s">
        <v>2023</v>
      </c>
      <c r="K249">
        <v>3</v>
      </c>
      <c r="L249" t="s">
        <v>2030</v>
      </c>
      <c r="M249" t="s">
        <v>2036</v>
      </c>
      <c r="N249" t="str">
        <f t="shared" si="6"/>
        <v>Fail</v>
      </c>
      <c r="O249" t="str">
        <f t="shared" si="7"/>
        <v>Adult</v>
      </c>
      <c r="P249" t="str" cm="1">
        <f t="array" ref="P249">_xlfn.IFS(K249&gt;90,"Excellent",K249&gt;80,"Very Good",K249&gt;70,"Good",K249&gt;=50,"Poor",K249&lt;50,"Fail")</f>
        <v>Fail</v>
      </c>
    </row>
    <row r="250" spans="1:16" x14ac:dyDescent="0.25">
      <c r="A250" t="s">
        <v>259</v>
      </c>
      <c r="B250" t="s">
        <v>1258</v>
      </c>
      <c r="C250" t="s">
        <v>2225</v>
      </c>
      <c r="D250" t="s">
        <v>2569</v>
      </c>
      <c r="E250" t="s">
        <v>2008</v>
      </c>
      <c r="F250">
        <v>16</v>
      </c>
      <c r="G250" t="s">
        <v>2009</v>
      </c>
      <c r="H250" t="s">
        <v>2016</v>
      </c>
      <c r="I250" t="s">
        <v>2018</v>
      </c>
      <c r="J250" t="s">
        <v>2023</v>
      </c>
      <c r="K250">
        <v>98</v>
      </c>
      <c r="L250" t="s">
        <v>2026</v>
      </c>
      <c r="M250" t="s">
        <v>2035</v>
      </c>
      <c r="N250" t="str">
        <f t="shared" si="6"/>
        <v>Pass</v>
      </c>
      <c r="O250" t="str">
        <f t="shared" si="7"/>
        <v>UnderAge</v>
      </c>
      <c r="P250" t="str" cm="1">
        <f t="array" ref="P250">_xlfn.IFS(K250&gt;90,"Excellent",K250&gt;80,"Very Good",K250&gt;70,"Good",K250&gt;=50,"Poor",K250&lt;50,"Fail")</f>
        <v>Excellent</v>
      </c>
    </row>
    <row r="251" spans="1:16" x14ac:dyDescent="0.25">
      <c r="A251" t="s">
        <v>260</v>
      </c>
      <c r="B251" t="s">
        <v>1259</v>
      </c>
      <c r="C251" t="s">
        <v>2226</v>
      </c>
      <c r="D251" t="s">
        <v>2430</v>
      </c>
      <c r="E251" t="s">
        <v>2007</v>
      </c>
      <c r="F251">
        <v>15</v>
      </c>
      <c r="G251" t="s">
        <v>2012</v>
      </c>
      <c r="H251" t="s">
        <v>2016</v>
      </c>
      <c r="I251" t="s">
        <v>2020</v>
      </c>
      <c r="J251" t="s">
        <v>2023</v>
      </c>
      <c r="K251">
        <v>3</v>
      </c>
      <c r="L251" t="s">
        <v>2028</v>
      </c>
      <c r="M251" t="s">
        <v>2036</v>
      </c>
      <c r="N251" t="str">
        <f t="shared" si="6"/>
        <v>Fail</v>
      </c>
      <c r="O251" t="str">
        <f t="shared" si="7"/>
        <v>UnderAge</v>
      </c>
      <c r="P251" t="str" cm="1">
        <f t="array" ref="P251">_xlfn.IFS(K251&gt;90,"Excellent",K251&gt;80,"Very Good",K251&gt;70,"Good",K251&gt;=50,"Poor",K251&lt;50,"Fail")</f>
        <v>Fail</v>
      </c>
    </row>
    <row r="252" spans="1:16" x14ac:dyDescent="0.25">
      <c r="A252" t="s">
        <v>261</v>
      </c>
      <c r="B252" t="s">
        <v>1260</v>
      </c>
      <c r="C252" t="s">
        <v>2183</v>
      </c>
      <c r="D252" t="s">
        <v>2570</v>
      </c>
      <c r="E252" t="s">
        <v>2008</v>
      </c>
      <c r="F252">
        <v>15</v>
      </c>
      <c r="G252" t="s">
        <v>2011</v>
      </c>
      <c r="H252" t="s">
        <v>2014</v>
      </c>
      <c r="I252" t="s">
        <v>2019</v>
      </c>
      <c r="J252" t="s">
        <v>2023</v>
      </c>
      <c r="K252">
        <v>91</v>
      </c>
      <c r="L252" t="s">
        <v>2034</v>
      </c>
      <c r="M252" t="s">
        <v>2035</v>
      </c>
      <c r="N252" t="str">
        <f t="shared" si="6"/>
        <v>Pass</v>
      </c>
      <c r="O252" t="str">
        <f t="shared" si="7"/>
        <v>UnderAge</v>
      </c>
      <c r="P252" t="str" cm="1">
        <f t="array" ref="P252">_xlfn.IFS(K252&gt;90,"Excellent",K252&gt;80,"Very Good",K252&gt;70,"Good",K252&gt;=50,"Poor",K252&lt;50,"Fail")</f>
        <v>Excellent</v>
      </c>
    </row>
    <row r="253" spans="1:16" x14ac:dyDescent="0.25">
      <c r="A253" t="s">
        <v>262</v>
      </c>
      <c r="B253" t="s">
        <v>1261</v>
      </c>
      <c r="C253" t="s">
        <v>2209</v>
      </c>
      <c r="D253" t="s">
        <v>2477</v>
      </c>
      <c r="E253" t="s">
        <v>2008</v>
      </c>
      <c r="F253">
        <v>18</v>
      </c>
      <c r="G253" t="s">
        <v>2009</v>
      </c>
      <c r="H253" t="s">
        <v>2014</v>
      </c>
      <c r="I253" t="s">
        <v>2022</v>
      </c>
      <c r="J253" t="s">
        <v>2023</v>
      </c>
      <c r="K253">
        <v>54</v>
      </c>
      <c r="L253" t="s">
        <v>2030</v>
      </c>
      <c r="M253" t="s">
        <v>2035</v>
      </c>
      <c r="N253" t="str">
        <f t="shared" si="6"/>
        <v>Pass</v>
      </c>
      <c r="O253" t="str">
        <f t="shared" si="7"/>
        <v>Adult</v>
      </c>
      <c r="P253" t="str" cm="1">
        <f t="array" ref="P253">_xlfn.IFS(K253&gt;90,"Excellent",K253&gt;80,"Very Good",K253&gt;70,"Good",K253&gt;=50,"Poor",K253&lt;50,"Fail")</f>
        <v>Poor</v>
      </c>
    </row>
    <row r="254" spans="1:16" x14ac:dyDescent="0.25">
      <c r="A254" t="s">
        <v>263</v>
      </c>
      <c r="B254" t="s">
        <v>1262</v>
      </c>
      <c r="C254" t="s">
        <v>2134</v>
      </c>
      <c r="D254" t="s">
        <v>2571</v>
      </c>
      <c r="E254" t="s">
        <v>2008</v>
      </c>
      <c r="F254">
        <v>18</v>
      </c>
      <c r="G254" t="s">
        <v>2009</v>
      </c>
      <c r="H254" t="s">
        <v>2015</v>
      </c>
      <c r="I254" t="s">
        <v>2019</v>
      </c>
      <c r="J254" t="s">
        <v>2023</v>
      </c>
      <c r="K254">
        <v>80</v>
      </c>
      <c r="L254" t="s">
        <v>2025</v>
      </c>
      <c r="M254" t="s">
        <v>2035</v>
      </c>
      <c r="N254" t="str">
        <f t="shared" si="6"/>
        <v>Pass</v>
      </c>
      <c r="O254" t="str">
        <f t="shared" si="7"/>
        <v>Adult</v>
      </c>
      <c r="P254" t="str" cm="1">
        <f t="array" ref="P254">_xlfn.IFS(K254&gt;90,"Excellent",K254&gt;80,"Very Good",K254&gt;70,"Good",K254&gt;=50,"Poor",K254&lt;50,"Fail")</f>
        <v>Good</v>
      </c>
    </row>
    <row r="255" spans="1:16" x14ac:dyDescent="0.25">
      <c r="A255" t="s">
        <v>264</v>
      </c>
      <c r="B255" t="s">
        <v>1263</v>
      </c>
      <c r="C255" t="s">
        <v>2227</v>
      </c>
      <c r="D255" t="s">
        <v>2460</v>
      </c>
      <c r="E255" t="s">
        <v>2007</v>
      </c>
      <c r="F255">
        <v>18</v>
      </c>
      <c r="G255" t="s">
        <v>2011</v>
      </c>
      <c r="H255" t="s">
        <v>2015</v>
      </c>
      <c r="I255" t="s">
        <v>2021</v>
      </c>
      <c r="J255" t="s">
        <v>2023</v>
      </c>
      <c r="K255">
        <v>72</v>
      </c>
      <c r="L255" t="s">
        <v>2025</v>
      </c>
      <c r="M255" t="s">
        <v>2035</v>
      </c>
      <c r="N255" t="str">
        <f t="shared" si="6"/>
        <v>Pass</v>
      </c>
      <c r="O255" t="str">
        <f t="shared" si="7"/>
        <v>Adult</v>
      </c>
      <c r="P255" t="str" cm="1">
        <f t="array" ref="P255">_xlfn.IFS(K255&gt;90,"Excellent",K255&gt;80,"Very Good",K255&gt;70,"Good",K255&gt;=50,"Poor",K255&lt;50,"Fail")</f>
        <v>Good</v>
      </c>
    </row>
    <row r="256" spans="1:16" x14ac:dyDescent="0.25">
      <c r="A256" t="s">
        <v>265</v>
      </c>
      <c r="B256" t="s">
        <v>1264</v>
      </c>
      <c r="C256" t="s">
        <v>2183</v>
      </c>
      <c r="D256" t="s">
        <v>2450</v>
      </c>
      <c r="E256" t="s">
        <v>2007</v>
      </c>
      <c r="F256">
        <v>16</v>
      </c>
      <c r="G256" t="s">
        <v>2010</v>
      </c>
      <c r="H256" t="s">
        <v>2017</v>
      </c>
      <c r="I256" t="s">
        <v>2018</v>
      </c>
      <c r="J256" t="s">
        <v>2024</v>
      </c>
      <c r="K256">
        <v>19</v>
      </c>
      <c r="L256" t="s">
        <v>2027</v>
      </c>
      <c r="M256" t="s">
        <v>2036</v>
      </c>
      <c r="N256" t="str">
        <f t="shared" si="6"/>
        <v>Fail</v>
      </c>
      <c r="O256" t="str">
        <f t="shared" si="7"/>
        <v>UnderAge</v>
      </c>
      <c r="P256" t="str" cm="1">
        <f t="array" ref="P256">_xlfn.IFS(K256&gt;90,"Excellent",K256&gt;80,"Very Good",K256&gt;70,"Good",K256&gt;=50,"Poor",K256&lt;50,"Fail")</f>
        <v>Fail</v>
      </c>
    </row>
    <row r="257" spans="1:16" x14ac:dyDescent="0.25">
      <c r="A257" t="s">
        <v>266</v>
      </c>
      <c r="B257" t="s">
        <v>1265</v>
      </c>
      <c r="C257" t="s">
        <v>2144</v>
      </c>
      <c r="D257" t="s">
        <v>2572</v>
      </c>
      <c r="E257" t="s">
        <v>2008</v>
      </c>
      <c r="F257">
        <v>17</v>
      </c>
      <c r="G257" t="s">
        <v>2013</v>
      </c>
      <c r="H257" t="s">
        <v>2017</v>
      </c>
      <c r="I257" t="s">
        <v>2020</v>
      </c>
      <c r="J257" t="s">
        <v>2024</v>
      </c>
      <c r="K257">
        <v>49</v>
      </c>
      <c r="L257" t="s">
        <v>2027</v>
      </c>
      <c r="M257" t="s">
        <v>2036</v>
      </c>
      <c r="N257" t="str">
        <f t="shared" si="6"/>
        <v>Fail</v>
      </c>
      <c r="O257" t="str">
        <f t="shared" si="7"/>
        <v>UnderAge</v>
      </c>
      <c r="P257" t="str" cm="1">
        <f t="array" ref="P257">_xlfn.IFS(K257&gt;90,"Excellent",K257&gt;80,"Very Good",K257&gt;70,"Good",K257&gt;=50,"Poor",K257&lt;50,"Fail")</f>
        <v>Fail</v>
      </c>
    </row>
    <row r="258" spans="1:16" x14ac:dyDescent="0.25">
      <c r="A258" t="s">
        <v>267</v>
      </c>
      <c r="B258" t="s">
        <v>1266</v>
      </c>
      <c r="C258" t="s">
        <v>2228</v>
      </c>
      <c r="D258" t="s">
        <v>2043</v>
      </c>
      <c r="E258" t="s">
        <v>2007</v>
      </c>
      <c r="F258">
        <v>18</v>
      </c>
      <c r="G258" t="s">
        <v>2012</v>
      </c>
      <c r="H258" t="s">
        <v>2016</v>
      </c>
      <c r="I258" t="s">
        <v>2019</v>
      </c>
      <c r="J258" t="s">
        <v>2024</v>
      </c>
      <c r="K258">
        <v>98</v>
      </c>
      <c r="L258" t="s">
        <v>2033</v>
      </c>
      <c r="M258" t="s">
        <v>2035</v>
      </c>
      <c r="N258" t="str">
        <f t="shared" si="6"/>
        <v>Pass</v>
      </c>
      <c r="O258" t="str">
        <f t="shared" si="7"/>
        <v>Adult</v>
      </c>
      <c r="P258" t="str" cm="1">
        <f t="array" ref="P258">_xlfn.IFS(K258&gt;90,"Excellent",K258&gt;80,"Very Good",K258&gt;70,"Good",K258&gt;=50,"Poor",K258&lt;50,"Fail")</f>
        <v>Excellent</v>
      </c>
    </row>
    <row r="259" spans="1:16" x14ac:dyDescent="0.25">
      <c r="A259" t="s">
        <v>268</v>
      </c>
      <c r="B259" t="s">
        <v>1267</v>
      </c>
      <c r="C259" t="s">
        <v>2153</v>
      </c>
      <c r="D259" t="s">
        <v>2573</v>
      </c>
      <c r="E259" t="s">
        <v>2007</v>
      </c>
      <c r="F259">
        <v>15</v>
      </c>
      <c r="G259" t="s">
        <v>2010</v>
      </c>
      <c r="H259" t="s">
        <v>2015</v>
      </c>
      <c r="I259" t="s">
        <v>2022</v>
      </c>
      <c r="J259" t="s">
        <v>2023</v>
      </c>
      <c r="K259">
        <v>99</v>
      </c>
      <c r="L259" t="s">
        <v>2033</v>
      </c>
      <c r="M259" t="s">
        <v>2035</v>
      </c>
      <c r="N259" t="str">
        <f t="shared" ref="N259:N322" si="8">IF(K259&gt;=50,"Pass","Fail")</f>
        <v>Pass</v>
      </c>
      <c r="O259" t="str">
        <f t="shared" ref="O259:O322" si="9">IF(F259&gt;=18,"Adult","UnderAge")</f>
        <v>UnderAge</v>
      </c>
      <c r="P259" t="str" cm="1">
        <f t="array" ref="P259">_xlfn.IFS(K259&gt;90,"Excellent",K259&gt;80,"Very Good",K259&gt;70,"Good",K259&gt;=50,"Poor",K259&lt;50,"Fail")</f>
        <v>Excellent</v>
      </c>
    </row>
    <row r="260" spans="1:16" x14ac:dyDescent="0.25">
      <c r="A260" t="s">
        <v>269</v>
      </c>
      <c r="B260" t="s">
        <v>1268</v>
      </c>
      <c r="C260" t="s">
        <v>2067</v>
      </c>
      <c r="D260" t="s">
        <v>2574</v>
      </c>
      <c r="E260" t="s">
        <v>2007</v>
      </c>
      <c r="F260">
        <v>17</v>
      </c>
      <c r="G260" t="s">
        <v>2012</v>
      </c>
      <c r="H260" t="s">
        <v>2015</v>
      </c>
      <c r="I260" t="s">
        <v>2019</v>
      </c>
      <c r="J260" t="s">
        <v>2023</v>
      </c>
      <c r="K260">
        <v>91</v>
      </c>
      <c r="L260" t="s">
        <v>2033</v>
      </c>
      <c r="M260" t="s">
        <v>2035</v>
      </c>
      <c r="N260" t="str">
        <f t="shared" si="8"/>
        <v>Pass</v>
      </c>
      <c r="O260" t="str">
        <f t="shared" si="9"/>
        <v>UnderAge</v>
      </c>
      <c r="P260" t="str" cm="1">
        <f t="array" ref="P260">_xlfn.IFS(K260&gt;90,"Excellent",K260&gt;80,"Very Good",K260&gt;70,"Good",K260&gt;=50,"Poor",K260&lt;50,"Fail")</f>
        <v>Excellent</v>
      </c>
    </row>
    <row r="261" spans="1:16" x14ac:dyDescent="0.25">
      <c r="A261" t="s">
        <v>270</v>
      </c>
      <c r="B261" t="s">
        <v>1269</v>
      </c>
      <c r="C261" t="s">
        <v>2071</v>
      </c>
      <c r="D261" t="s">
        <v>2272</v>
      </c>
      <c r="E261" t="s">
        <v>2007</v>
      </c>
      <c r="F261">
        <v>14</v>
      </c>
      <c r="G261" t="s">
        <v>2011</v>
      </c>
      <c r="H261" t="s">
        <v>2017</v>
      </c>
      <c r="I261" t="s">
        <v>2018</v>
      </c>
      <c r="J261" t="s">
        <v>2024</v>
      </c>
      <c r="K261">
        <v>24</v>
      </c>
      <c r="L261" t="s">
        <v>2029</v>
      </c>
      <c r="M261" t="s">
        <v>2036</v>
      </c>
      <c r="N261" t="str">
        <f t="shared" si="8"/>
        <v>Fail</v>
      </c>
      <c r="O261" t="str">
        <f t="shared" si="9"/>
        <v>UnderAge</v>
      </c>
      <c r="P261" t="str" cm="1">
        <f t="array" ref="P261">_xlfn.IFS(K261&gt;90,"Excellent",K261&gt;80,"Very Good",K261&gt;70,"Good",K261&gt;=50,"Poor",K261&lt;50,"Fail")</f>
        <v>Fail</v>
      </c>
    </row>
    <row r="262" spans="1:16" x14ac:dyDescent="0.25">
      <c r="A262" t="s">
        <v>271</v>
      </c>
      <c r="B262" t="s">
        <v>1270</v>
      </c>
      <c r="C262" t="s">
        <v>2229</v>
      </c>
      <c r="D262" t="s">
        <v>2575</v>
      </c>
      <c r="E262" t="s">
        <v>2008</v>
      </c>
      <c r="F262">
        <v>18</v>
      </c>
      <c r="G262" t="s">
        <v>2009</v>
      </c>
      <c r="H262" t="s">
        <v>2017</v>
      </c>
      <c r="I262" t="s">
        <v>2018</v>
      </c>
      <c r="J262" t="s">
        <v>2023</v>
      </c>
      <c r="K262">
        <v>0</v>
      </c>
      <c r="L262" t="s">
        <v>2034</v>
      </c>
      <c r="M262" t="s">
        <v>2036</v>
      </c>
      <c r="N262" t="str">
        <f t="shared" si="8"/>
        <v>Fail</v>
      </c>
      <c r="O262" t="str">
        <f t="shared" si="9"/>
        <v>Adult</v>
      </c>
      <c r="P262" t="str" cm="1">
        <f t="array" ref="P262">_xlfn.IFS(K262&gt;90,"Excellent",K262&gt;80,"Very Good",K262&gt;70,"Good",K262&gt;=50,"Poor",K262&lt;50,"Fail")</f>
        <v>Fail</v>
      </c>
    </row>
    <row r="263" spans="1:16" x14ac:dyDescent="0.25">
      <c r="A263" t="s">
        <v>272</v>
      </c>
      <c r="B263" t="s">
        <v>1271</v>
      </c>
      <c r="C263" t="s">
        <v>2230</v>
      </c>
      <c r="D263" t="s">
        <v>2495</v>
      </c>
      <c r="E263" t="s">
        <v>2008</v>
      </c>
      <c r="F263">
        <v>16</v>
      </c>
      <c r="G263" t="s">
        <v>2013</v>
      </c>
      <c r="H263" t="s">
        <v>2017</v>
      </c>
      <c r="I263" t="s">
        <v>2019</v>
      </c>
      <c r="J263" t="s">
        <v>2024</v>
      </c>
      <c r="K263">
        <v>19</v>
      </c>
      <c r="L263" t="s">
        <v>2025</v>
      </c>
      <c r="M263" t="s">
        <v>2036</v>
      </c>
      <c r="N263" t="str">
        <f t="shared" si="8"/>
        <v>Fail</v>
      </c>
      <c r="O263" t="str">
        <f t="shared" si="9"/>
        <v>UnderAge</v>
      </c>
      <c r="P263" t="str" cm="1">
        <f t="array" ref="P263">_xlfn.IFS(K263&gt;90,"Excellent",K263&gt;80,"Very Good",K263&gt;70,"Good",K263&gt;=50,"Poor",K263&lt;50,"Fail")</f>
        <v>Fail</v>
      </c>
    </row>
    <row r="264" spans="1:16" x14ac:dyDescent="0.25">
      <c r="A264" t="s">
        <v>273</v>
      </c>
      <c r="B264" t="s">
        <v>1272</v>
      </c>
      <c r="C264" t="s">
        <v>2231</v>
      </c>
      <c r="D264" t="s">
        <v>2576</v>
      </c>
      <c r="E264" t="s">
        <v>2008</v>
      </c>
      <c r="F264">
        <v>18</v>
      </c>
      <c r="G264" t="s">
        <v>2009</v>
      </c>
      <c r="H264" t="s">
        <v>2017</v>
      </c>
      <c r="I264" t="s">
        <v>2020</v>
      </c>
      <c r="J264" t="s">
        <v>2024</v>
      </c>
      <c r="K264">
        <v>62</v>
      </c>
      <c r="L264" t="s">
        <v>2026</v>
      </c>
      <c r="M264" t="s">
        <v>2035</v>
      </c>
      <c r="N264" t="str">
        <f t="shared" si="8"/>
        <v>Pass</v>
      </c>
      <c r="O264" t="str">
        <f t="shared" si="9"/>
        <v>Adult</v>
      </c>
      <c r="P264" t="str" cm="1">
        <f t="array" ref="P264">_xlfn.IFS(K264&gt;90,"Excellent",K264&gt;80,"Very Good",K264&gt;70,"Good",K264&gt;=50,"Poor",K264&lt;50,"Fail")</f>
        <v>Poor</v>
      </c>
    </row>
    <row r="265" spans="1:16" x14ac:dyDescent="0.25">
      <c r="A265" t="s">
        <v>274</v>
      </c>
      <c r="B265" t="s">
        <v>1273</v>
      </c>
      <c r="C265" t="s">
        <v>2232</v>
      </c>
      <c r="D265" t="s">
        <v>2577</v>
      </c>
      <c r="E265" t="s">
        <v>2007</v>
      </c>
      <c r="F265">
        <v>16</v>
      </c>
      <c r="G265" t="s">
        <v>2009</v>
      </c>
      <c r="H265" t="s">
        <v>2015</v>
      </c>
      <c r="I265" t="s">
        <v>2020</v>
      </c>
      <c r="J265" t="s">
        <v>2024</v>
      </c>
      <c r="K265">
        <v>13</v>
      </c>
      <c r="L265" t="s">
        <v>2026</v>
      </c>
      <c r="M265" t="s">
        <v>2036</v>
      </c>
      <c r="N265" t="str">
        <f t="shared" si="8"/>
        <v>Fail</v>
      </c>
      <c r="O265" t="str">
        <f t="shared" si="9"/>
        <v>UnderAge</v>
      </c>
      <c r="P265" t="str" cm="1">
        <f t="array" ref="P265">_xlfn.IFS(K265&gt;90,"Excellent",K265&gt;80,"Very Good",K265&gt;70,"Good",K265&gt;=50,"Poor",K265&lt;50,"Fail")</f>
        <v>Fail</v>
      </c>
    </row>
    <row r="266" spans="1:16" x14ac:dyDescent="0.25">
      <c r="A266" t="s">
        <v>275</v>
      </c>
      <c r="B266" t="s">
        <v>1274</v>
      </c>
      <c r="C266" t="s">
        <v>2139</v>
      </c>
      <c r="D266" t="s">
        <v>2578</v>
      </c>
      <c r="E266" t="s">
        <v>2007</v>
      </c>
      <c r="F266">
        <v>17</v>
      </c>
      <c r="G266" t="s">
        <v>2011</v>
      </c>
      <c r="H266" t="s">
        <v>2016</v>
      </c>
      <c r="I266" t="s">
        <v>2019</v>
      </c>
      <c r="J266" t="s">
        <v>2023</v>
      </c>
      <c r="K266">
        <v>19</v>
      </c>
      <c r="L266" t="s">
        <v>2026</v>
      </c>
      <c r="M266" t="s">
        <v>2036</v>
      </c>
      <c r="N266" t="str">
        <f t="shared" si="8"/>
        <v>Fail</v>
      </c>
      <c r="O266" t="str">
        <f t="shared" si="9"/>
        <v>UnderAge</v>
      </c>
      <c r="P266" t="str" cm="1">
        <f t="array" ref="P266">_xlfn.IFS(K266&gt;90,"Excellent",K266&gt;80,"Very Good",K266&gt;70,"Good",K266&gt;=50,"Poor",K266&lt;50,"Fail")</f>
        <v>Fail</v>
      </c>
    </row>
    <row r="267" spans="1:16" x14ac:dyDescent="0.25">
      <c r="A267" t="s">
        <v>276</v>
      </c>
      <c r="B267" t="s">
        <v>1275</v>
      </c>
      <c r="C267" t="s">
        <v>2233</v>
      </c>
      <c r="D267" t="s">
        <v>2451</v>
      </c>
      <c r="E267" t="s">
        <v>2007</v>
      </c>
      <c r="F267">
        <v>17</v>
      </c>
      <c r="G267" t="s">
        <v>2010</v>
      </c>
      <c r="H267" t="s">
        <v>2015</v>
      </c>
      <c r="I267" t="s">
        <v>2018</v>
      </c>
      <c r="J267" t="s">
        <v>2024</v>
      </c>
      <c r="K267">
        <v>70</v>
      </c>
      <c r="L267" t="s">
        <v>2027</v>
      </c>
      <c r="M267" t="s">
        <v>2035</v>
      </c>
      <c r="N267" t="str">
        <f t="shared" si="8"/>
        <v>Pass</v>
      </c>
      <c r="O267" t="str">
        <f t="shared" si="9"/>
        <v>UnderAge</v>
      </c>
      <c r="P267" t="str" cm="1">
        <f t="array" ref="P267">_xlfn.IFS(K267&gt;90,"Excellent",K267&gt;80,"Very Good",K267&gt;70,"Good",K267&gt;=50,"Poor",K267&lt;50,"Fail")</f>
        <v>Poor</v>
      </c>
    </row>
    <row r="268" spans="1:16" x14ac:dyDescent="0.25">
      <c r="A268" t="s">
        <v>277</v>
      </c>
      <c r="B268" t="s">
        <v>1276</v>
      </c>
      <c r="C268" t="s">
        <v>2234</v>
      </c>
      <c r="D268" t="s">
        <v>2055</v>
      </c>
      <c r="E268" t="s">
        <v>2007</v>
      </c>
      <c r="F268">
        <v>15</v>
      </c>
      <c r="G268" t="s">
        <v>2010</v>
      </c>
      <c r="H268" t="s">
        <v>2015</v>
      </c>
      <c r="I268" t="s">
        <v>2018</v>
      </c>
      <c r="J268" t="s">
        <v>2024</v>
      </c>
      <c r="K268">
        <v>17</v>
      </c>
      <c r="L268" t="s">
        <v>2026</v>
      </c>
      <c r="M268" t="s">
        <v>2036</v>
      </c>
      <c r="N268" t="str">
        <f t="shared" si="8"/>
        <v>Fail</v>
      </c>
      <c r="O268" t="str">
        <f t="shared" si="9"/>
        <v>UnderAge</v>
      </c>
      <c r="P268" t="str" cm="1">
        <f t="array" ref="P268">_xlfn.IFS(K268&gt;90,"Excellent",K268&gt;80,"Very Good",K268&gt;70,"Good",K268&gt;=50,"Poor",K268&lt;50,"Fail")</f>
        <v>Fail</v>
      </c>
    </row>
    <row r="269" spans="1:16" x14ac:dyDescent="0.25">
      <c r="A269" t="s">
        <v>278</v>
      </c>
      <c r="B269" t="s">
        <v>1277</v>
      </c>
      <c r="C269" t="s">
        <v>2132</v>
      </c>
      <c r="D269" t="s">
        <v>2579</v>
      </c>
      <c r="E269" t="s">
        <v>2008</v>
      </c>
      <c r="F269">
        <v>15</v>
      </c>
      <c r="G269" t="s">
        <v>2010</v>
      </c>
      <c r="H269" t="s">
        <v>2016</v>
      </c>
      <c r="I269" t="s">
        <v>2020</v>
      </c>
      <c r="J269" t="s">
        <v>2024</v>
      </c>
      <c r="K269">
        <v>51</v>
      </c>
      <c r="L269" t="s">
        <v>2026</v>
      </c>
      <c r="M269" t="s">
        <v>2035</v>
      </c>
      <c r="N269" t="str">
        <f t="shared" si="8"/>
        <v>Pass</v>
      </c>
      <c r="O269" t="str">
        <f t="shared" si="9"/>
        <v>UnderAge</v>
      </c>
      <c r="P269" t="str" cm="1">
        <f t="array" ref="P269">_xlfn.IFS(K269&gt;90,"Excellent",K269&gt;80,"Very Good",K269&gt;70,"Good",K269&gt;=50,"Poor",K269&lt;50,"Fail")</f>
        <v>Poor</v>
      </c>
    </row>
    <row r="270" spans="1:16" x14ac:dyDescent="0.25">
      <c r="A270" t="s">
        <v>279</v>
      </c>
      <c r="B270" t="s">
        <v>1278</v>
      </c>
      <c r="C270" t="s">
        <v>2235</v>
      </c>
      <c r="D270" t="s">
        <v>2580</v>
      </c>
      <c r="E270" t="s">
        <v>2008</v>
      </c>
      <c r="F270">
        <v>14</v>
      </c>
      <c r="G270" t="s">
        <v>2013</v>
      </c>
      <c r="H270" t="s">
        <v>2016</v>
      </c>
      <c r="I270" t="s">
        <v>2019</v>
      </c>
      <c r="J270" t="s">
        <v>2023</v>
      </c>
      <c r="K270">
        <v>41</v>
      </c>
      <c r="L270" t="s">
        <v>2025</v>
      </c>
      <c r="M270" t="s">
        <v>2036</v>
      </c>
      <c r="N270" t="str">
        <f t="shared" si="8"/>
        <v>Fail</v>
      </c>
      <c r="O270" t="str">
        <f t="shared" si="9"/>
        <v>UnderAge</v>
      </c>
      <c r="P270" t="str" cm="1">
        <f t="array" ref="P270">_xlfn.IFS(K270&gt;90,"Excellent",K270&gt;80,"Very Good",K270&gt;70,"Good",K270&gt;=50,"Poor",K270&lt;50,"Fail")</f>
        <v>Fail</v>
      </c>
    </row>
    <row r="271" spans="1:16" x14ac:dyDescent="0.25">
      <c r="A271" t="s">
        <v>280</v>
      </c>
      <c r="B271" t="s">
        <v>1279</v>
      </c>
      <c r="C271" t="s">
        <v>2135</v>
      </c>
      <c r="D271" t="s">
        <v>2581</v>
      </c>
      <c r="E271" t="s">
        <v>2008</v>
      </c>
      <c r="F271">
        <v>17</v>
      </c>
      <c r="G271" t="s">
        <v>2011</v>
      </c>
      <c r="H271" t="s">
        <v>2016</v>
      </c>
      <c r="I271" t="s">
        <v>2021</v>
      </c>
      <c r="J271" t="s">
        <v>2024</v>
      </c>
      <c r="K271">
        <v>70</v>
      </c>
      <c r="L271" t="s">
        <v>2034</v>
      </c>
      <c r="M271" t="s">
        <v>2035</v>
      </c>
      <c r="N271" t="str">
        <f t="shared" si="8"/>
        <v>Pass</v>
      </c>
      <c r="O271" t="str">
        <f t="shared" si="9"/>
        <v>UnderAge</v>
      </c>
      <c r="P271" t="str" cm="1">
        <f t="array" ref="P271">_xlfn.IFS(K271&gt;90,"Excellent",K271&gt;80,"Very Good",K271&gt;70,"Good",K271&gt;=50,"Poor",K271&lt;50,"Fail")</f>
        <v>Poor</v>
      </c>
    </row>
    <row r="272" spans="1:16" x14ac:dyDescent="0.25">
      <c r="A272" t="s">
        <v>281</v>
      </c>
      <c r="B272" t="s">
        <v>1280</v>
      </c>
      <c r="C272" t="s">
        <v>2236</v>
      </c>
      <c r="D272" t="s">
        <v>2467</v>
      </c>
      <c r="E272" t="s">
        <v>2008</v>
      </c>
      <c r="F272">
        <v>18</v>
      </c>
      <c r="G272" t="s">
        <v>2011</v>
      </c>
      <c r="H272" t="s">
        <v>2017</v>
      </c>
      <c r="I272" t="s">
        <v>2022</v>
      </c>
      <c r="J272" t="s">
        <v>2023</v>
      </c>
      <c r="K272">
        <v>31</v>
      </c>
      <c r="L272" t="s">
        <v>2033</v>
      </c>
      <c r="M272" t="s">
        <v>2036</v>
      </c>
      <c r="N272" t="str">
        <f t="shared" si="8"/>
        <v>Fail</v>
      </c>
      <c r="O272" t="str">
        <f t="shared" si="9"/>
        <v>Adult</v>
      </c>
      <c r="P272" t="str" cm="1">
        <f t="array" ref="P272">_xlfn.IFS(K272&gt;90,"Excellent",K272&gt;80,"Very Good",K272&gt;70,"Good",K272&gt;=50,"Poor",K272&lt;50,"Fail")</f>
        <v>Fail</v>
      </c>
    </row>
    <row r="273" spans="1:16" x14ac:dyDescent="0.25">
      <c r="A273" t="s">
        <v>282</v>
      </c>
      <c r="B273" t="s">
        <v>1281</v>
      </c>
      <c r="C273" t="s">
        <v>2216</v>
      </c>
      <c r="D273" t="s">
        <v>2582</v>
      </c>
      <c r="E273" t="s">
        <v>2008</v>
      </c>
      <c r="F273">
        <v>16</v>
      </c>
      <c r="G273" t="s">
        <v>2009</v>
      </c>
      <c r="H273" t="s">
        <v>2016</v>
      </c>
      <c r="I273" t="s">
        <v>2018</v>
      </c>
      <c r="J273" t="s">
        <v>2024</v>
      </c>
      <c r="K273">
        <v>35</v>
      </c>
      <c r="L273" t="s">
        <v>2031</v>
      </c>
      <c r="M273" t="s">
        <v>2036</v>
      </c>
      <c r="N273" t="str">
        <f t="shared" si="8"/>
        <v>Fail</v>
      </c>
      <c r="O273" t="str">
        <f t="shared" si="9"/>
        <v>UnderAge</v>
      </c>
      <c r="P273" t="str" cm="1">
        <f t="array" ref="P273">_xlfn.IFS(K273&gt;90,"Excellent",K273&gt;80,"Very Good",K273&gt;70,"Good",K273&gt;=50,"Poor",K273&lt;50,"Fail")</f>
        <v>Fail</v>
      </c>
    </row>
    <row r="274" spans="1:16" x14ac:dyDescent="0.25">
      <c r="A274" t="s">
        <v>283</v>
      </c>
      <c r="B274" t="s">
        <v>1282</v>
      </c>
      <c r="C274" t="s">
        <v>2119</v>
      </c>
      <c r="D274" t="s">
        <v>2450</v>
      </c>
      <c r="E274" t="s">
        <v>2007</v>
      </c>
      <c r="F274">
        <v>16</v>
      </c>
      <c r="G274" t="s">
        <v>2011</v>
      </c>
      <c r="H274" t="s">
        <v>2016</v>
      </c>
      <c r="I274" t="s">
        <v>2022</v>
      </c>
      <c r="J274" t="s">
        <v>2023</v>
      </c>
      <c r="K274">
        <v>35</v>
      </c>
      <c r="L274" t="s">
        <v>2032</v>
      </c>
      <c r="M274" t="s">
        <v>2036</v>
      </c>
      <c r="N274" t="str">
        <f t="shared" si="8"/>
        <v>Fail</v>
      </c>
      <c r="O274" t="str">
        <f t="shared" si="9"/>
        <v>UnderAge</v>
      </c>
      <c r="P274" t="str" cm="1">
        <f t="array" ref="P274">_xlfn.IFS(K274&gt;90,"Excellent",K274&gt;80,"Very Good",K274&gt;70,"Good",K274&gt;=50,"Poor",K274&lt;50,"Fail")</f>
        <v>Fail</v>
      </c>
    </row>
    <row r="275" spans="1:16" x14ac:dyDescent="0.25">
      <c r="A275" t="s">
        <v>284</v>
      </c>
      <c r="B275" t="s">
        <v>1283</v>
      </c>
      <c r="C275" t="s">
        <v>2237</v>
      </c>
      <c r="D275" t="s">
        <v>2146</v>
      </c>
      <c r="E275" t="s">
        <v>2007</v>
      </c>
      <c r="F275">
        <v>18</v>
      </c>
      <c r="G275" t="s">
        <v>2013</v>
      </c>
      <c r="H275" t="s">
        <v>2017</v>
      </c>
      <c r="I275" t="s">
        <v>2019</v>
      </c>
      <c r="J275" t="s">
        <v>2024</v>
      </c>
      <c r="K275">
        <v>52</v>
      </c>
      <c r="L275" t="s">
        <v>2031</v>
      </c>
      <c r="M275" t="s">
        <v>2035</v>
      </c>
      <c r="N275" t="str">
        <f t="shared" si="8"/>
        <v>Pass</v>
      </c>
      <c r="O275" t="str">
        <f t="shared" si="9"/>
        <v>Adult</v>
      </c>
      <c r="P275" t="str" cm="1">
        <f t="array" ref="P275">_xlfn.IFS(K275&gt;90,"Excellent",K275&gt;80,"Very Good",K275&gt;70,"Good",K275&gt;=50,"Poor",K275&lt;50,"Fail")</f>
        <v>Poor</v>
      </c>
    </row>
    <row r="276" spans="1:16" x14ac:dyDescent="0.25">
      <c r="A276" t="s">
        <v>285</v>
      </c>
      <c r="B276" t="s">
        <v>1284</v>
      </c>
      <c r="C276" t="s">
        <v>2238</v>
      </c>
      <c r="D276" t="s">
        <v>2583</v>
      </c>
      <c r="E276" t="s">
        <v>2007</v>
      </c>
      <c r="F276">
        <v>14</v>
      </c>
      <c r="G276" t="s">
        <v>2012</v>
      </c>
      <c r="H276" t="s">
        <v>2017</v>
      </c>
      <c r="I276" t="s">
        <v>2019</v>
      </c>
      <c r="J276" t="s">
        <v>2023</v>
      </c>
      <c r="K276">
        <v>90</v>
      </c>
      <c r="L276" t="s">
        <v>2033</v>
      </c>
      <c r="M276" t="s">
        <v>2035</v>
      </c>
      <c r="N276" t="str">
        <f t="shared" si="8"/>
        <v>Pass</v>
      </c>
      <c r="O276" t="str">
        <f t="shared" si="9"/>
        <v>UnderAge</v>
      </c>
      <c r="P276" t="str" cm="1">
        <f t="array" ref="P276">_xlfn.IFS(K276&gt;90,"Excellent",K276&gt;80,"Very Good",K276&gt;70,"Good",K276&gt;=50,"Poor",K276&lt;50,"Fail")</f>
        <v>Very Good</v>
      </c>
    </row>
    <row r="277" spans="1:16" x14ac:dyDescent="0.25">
      <c r="A277" t="s">
        <v>286</v>
      </c>
      <c r="B277" t="s">
        <v>1285</v>
      </c>
      <c r="C277" t="s">
        <v>2216</v>
      </c>
      <c r="D277" t="s">
        <v>2584</v>
      </c>
      <c r="E277" t="s">
        <v>2007</v>
      </c>
      <c r="F277">
        <v>18</v>
      </c>
      <c r="G277" t="s">
        <v>2009</v>
      </c>
      <c r="H277" t="s">
        <v>2016</v>
      </c>
      <c r="I277" t="s">
        <v>2020</v>
      </c>
      <c r="J277" t="s">
        <v>2023</v>
      </c>
      <c r="K277">
        <v>23</v>
      </c>
      <c r="L277" t="s">
        <v>2026</v>
      </c>
      <c r="M277" t="s">
        <v>2036</v>
      </c>
      <c r="N277" t="str">
        <f t="shared" si="8"/>
        <v>Fail</v>
      </c>
      <c r="O277" t="str">
        <f t="shared" si="9"/>
        <v>Adult</v>
      </c>
      <c r="P277" t="str" cm="1">
        <f t="array" ref="P277">_xlfn.IFS(K277&gt;90,"Excellent",K277&gt;80,"Very Good",K277&gt;70,"Good",K277&gt;=50,"Poor",K277&lt;50,"Fail")</f>
        <v>Fail</v>
      </c>
    </row>
    <row r="278" spans="1:16" x14ac:dyDescent="0.25">
      <c r="A278" t="s">
        <v>287</v>
      </c>
      <c r="B278" t="s">
        <v>1286</v>
      </c>
      <c r="C278" t="s">
        <v>2239</v>
      </c>
      <c r="D278" t="s">
        <v>2535</v>
      </c>
      <c r="E278" t="s">
        <v>2008</v>
      </c>
      <c r="F278">
        <v>14</v>
      </c>
      <c r="G278" t="s">
        <v>2013</v>
      </c>
      <c r="H278" t="s">
        <v>2014</v>
      </c>
      <c r="I278" t="s">
        <v>2022</v>
      </c>
      <c r="J278" t="s">
        <v>2023</v>
      </c>
      <c r="K278">
        <v>63</v>
      </c>
      <c r="L278" t="s">
        <v>2025</v>
      </c>
      <c r="M278" t="s">
        <v>2035</v>
      </c>
      <c r="N278" t="str">
        <f t="shared" si="8"/>
        <v>Pass</v>
      </c>
      <c r="O278" t="str">
        <f t="shared" si="9"/>
        <v>UnderAge</v>
      </c>
      <c r="P278" t="str" cm="1">
        <f t="array" ref="P278">_xlfn.IFS(K278&gt;90,"Excellent",K278&gt;80,"Very Good",K278&gt;70,"Good",K278&gt;=50,"Poor",K278&lt;50,"Fail")</f>
        <v>Poor</v>
      </c>
    </row>
    <row r="279" spans="1:16" x14ac:dyDescent="0.25">
      <c r="A279" t="s">
        <v>288</v>
      </c>
      <c r="B279" t="s">
        <v>1287</v>
      </c>
      <c r="C279" t="s">
        <v>2240</v>
      </c>
      <c r="D279" t="s">
        <v>2437</v>
      </c>
      <c r="E279" t="s">
        <v>2007</v>
      </c>
      <c r="F279">
        <v>16</v>
      </c>
      <c r="G279" t="s">
        <v>2010</v>
      </c>
      <c r="H279" t="s">
        <v>2016</v>
      </c>
      <c r="I279" t="s">
        <v>2020</v>
      </c>
      <c r="J279" t="s">
        <v>2023</v>
      </c>
      <c r="K279">
        <v>77</v>
      </c>
      <c r="L279" t="s">
        <v>2029</v>
      </c>
      <c r="M279" t="s">
        <v>2035</v>
      </c>
      <c r="N279" t="str">
        <f t="shared" si="8"/>
        <v>Pass</v>
      </c>
      <c r="O279" t="str">
        <f t="shared" si="9"/>
        <v>UnderAge</v>
      </c>
      <c r="P279" t="str" cm="1">
        <f t="array" ref="P279">_xlfn.IFS(K279&gt;90,"Excellent",K279&gt;80,"Very Good",K279&gt;70,"Good",K279&gt;=50,"Poor",K279&lt;50,"Fail")</f>
        <v>Good</v>
      </c>
    </row>
    <row r="280" spans="1:16" x14ac:dyDescent="0.25">
      <c r="A280" t="s">
        <v>289</v>
      </c>
      <c r="B280" t="s">
        <v>1288</v>
      </c>
      <c r="C280" t="s">
        <v>2241</v>
      </c>
      <c r="D280" t="s">
        <v>2585</v>
      </c>
      <c r="E280" t="s">
        <v>2008</v>
      </c>
      <c r="F280">
        <v>18</v>
      </c>
      <c r="G280" t="s">
        <v>2010</v>
      </c>
      <c r="H280" t="s">
        <v>2014</v>
      </c>
      <c r="I280" t="s">
        <v>2020</v>
      </c>
      <c r="J280" t="s">
        <v>2024</v>
      </c>
      <c r="K280">
        <v>56</v>
      </c>
      <c r="L280" t="s">
        <v>2027</v>
      </c>
      <c r="M280" t="s">
        <v>2035</v>
      </c>
      <c r="N280" t="str">
        <f t="shared" si="8"/>
        <v>Pass</v>
      </c>
      <c r="O280" t="str">
        <f t="shared" si="9"/>
        <v>Adult</v>
      </c>
      <c r="P280" t="str" cm="1">
        <f t="array" ref="P280">_xlfn.IFS(K280&gt;90,"Excellent",K280&gt;80,"Very Good",K280&gt;70,"Good",K280&gt;=50,"Poor",K280&lt;50,"Fail")</f>
        <v>Poor</v>
      </c>
    </row>
    <row r="281" spans="1:16" x14ac:dyDescent="0.25">
      <c r="A281" t="s">
        <v>290</v>
      </c>
      <c r="B281" t="s">
        <v>1289</v>
      </c>
      <c r="C281" t="s">
        <v>2148</v>
      </c>
      <c r="D281" t="s">
        <v>2586</v>
      </c>
      <c r="E281" t="s">
        <v>2008</v>
      </c>
      <c r="F281">
        <v>18</v>
      </c>
      <c r="G281" t="s">
        <v>2009</v>
      </c>
      <c r="H281" t="s">
        <v>2017</v>
      </c>
      <c r="I281" t="s">
        <v>2019</v>
      </c>
      <c r="J281" t="s">
        <v>2023</v>
      </c>
      <c r="K281">
        <v>7</v>
      </c>
      <c r="L281" t="s">
        <v>2028</v>
      </c>
      <c r="M281" t="s">
        <v>2036</v>
      </c>
      <c r="N281" t="str">
        <f t="shared" si="8"/>
        <v>Fail</v>
      </c>
      <c r="O281" t="str">
        <f t="shared" si="9"/>
        <v>Adult</v>
      </c>
      <c r="P281" t="str" cm="1">
        <f t="array" ref="P281">_xlfn.IFS(K281&gt;90,"Excellent",K281&gt;80,"Very Good",K281&gt;70,"Good",K281&gt;=50,"Poor",K281&lt;50,"Fail")</f>
        <v>Fail</v>
      </c>
    </row>
    <row r="282" spans="1:16" x14ac:dyDescent="0.25">
      <c r="A282" t="s">
        <v>291</v>
      </c>
      <c r="B282" t="s">
        <v>1290</v>
      </c>
      <c r="C282" t="s">
        <v>2242</v>
      </c>
      <c r="D282" t="s">
        <v>2460</v>
      </c>
      <c r="E282" t="s">
        <v>2007</v>
      </c>
      <c r="F282">
        <v>16</v>
      </c>
      <c r="G282" t="s">
        <v>2013</v>
      </c>
      <c r="H282" t="s">
        <v>2015</v>
      </c>
      <c r="I282" t="s">
        <v>2022</v>
      </c>
      <c r="J282" t="s">
        <v>2024</v>
      </c>
      <c r="K282">
        <v>10</v>
      </c>
      <c r="L282" t="s">
        <v>2031</v>
      </c>
      <c r="M282" t="s">
        <v>2036</v>
      </c>
      <c r="N282" t="str">
        <f t="shared" si="8"/>
        <v>Fail</v>
      </c>
      <c r="O282" t="str">
        <f t="shared" si="9"/>
        <v>UnderAge</v>
      </c>
      <c r="P282" t="str" cm="1">
        <f t="array" ref="P282">_xlfn.IFS(K282&gt;90,"Excellent",K282&gt;80,"Very Good",K282&gt;70,"Good",K282&gt;=50,"Poor",K282&lt;50,"Fail")</f>
        <v>Fail</v>
      </c>
    </row>
    <row r="283" spans="1:16" x14ac:dyDescent="0.25">
      <c r="A283" t="s">
        <v>292</v>
      </c>
      <c r="B283" t="s">
        <v>1291</v>
      </c>
      <c r="C283" t="s">
        <v>2199</v>
      </c>
      <c r="D283" t="s">
        <v>2587</v>
      </c>
      <c r="E283" t="s">
        <v>2007</v>
      </c>
      <c r="F283">
        <v>14</v>
      </c>
      <c r="G283" t="s">
        <v>2009</v>
      </c>
      <c r="H283" t="s">
        <v>2016</v>
      </c>
      <c r="I283" t="s">
        <v>2021</v>
      </c>
      <c r="J283" t="s">
        <v>2024</v>
      </c>
      <c r="K283">
        <v>77</v>
      </c>
      <c r="L283" t="s">
        <v>2030</v>
      </c>
      <c r="M283" t="s">
        <v>2035</v>
      </c>
      <c r="N283" t="str">
        <f t="shared" si="8"/>
        <v>Pass</v>
      </c>
      <c r="O283" t="str">
        <f t="shared" si="9"/>
        <v>UnderAge</v>
      </c>
      <c r="P283" t="str" cm="1">
        <f t="array" ref="P283">_xlfn.IFS(K283&gt;90,"Excellent",K283&gt;80,"Very Good",K283&gt;70,"Good",K283&gt;=50,"Poor",K283&lt;50,"Fail")</f>
        <v>Good</v>
      </c>
    </row>
    <row r="284" spans="1:16" x14ac:dyDescent="0.25">
      <c r="A284" t="s">
        <v>293</v>
      </c>
      <c r="B284" t="s">
        <v>1292</v>
      </c>
      <c r="C284" t="s">
        <v>2178</v>
      </c>
      <c r="D284" t="s">
        <v>2588</v>
      </c>
      <c r="E284" t="s">
        <v>2008</v>
      </c>
      <c r="F284">
        <v>18</v>
      </c>
      <c r="G284" t="s">
        <v>2013</v>
      </c>
      <c r="H284" t="s">
        <v>2015</v>
      </c>
      <c r="I284" t="s">
        <v>2021</v>
      </c>
      <c r="J284" t="s">
        <v>2023</v>
      </c>
      <c r="K284">
        <v>70</v>
      </c>
      <c r="L284" t="s">
        <v>2029</v>
      </c>
      <c r="M284" t="s">
        <v>2035</v>
      </c>
      <c r="N284" t="str">
        <f t="shared" si="8"/>
        <v>Pass</v>
      </c>
      <c r="O284" t="str">
        <f t="shared" si="9"/>
        <v>Adult</v>
      </c>
      <c r="P284" t="str" cm="1">
        <f t="array" ref="P284">_xlfn.IFS(K284&gt;90,"Excellent",K284&gt;80,"Very Good",K284&gt;70,"Good",K284&gt;=50,"Poor",K284&lt;50,"Fail")</f>
        <v>Poor</v>
      </c>
    </row>
    <row r="285" spans="1:16" x14ac:dyDescent="0.25">
      <c r="A285" t="s">
        <v>294</v>
      </c>
      <c r="B285" t="s">
        <v>1293</v>
      </c>
      <c r="C285" t="s">
        <v>2243</v>
      </c>
      <c r="D285" t="s">
        <v>2572</v>
      </c>
      <c r="E285" t="s">
        <v>2007</v>
      </c>
      <c r="F285">
        <v>17</v>
      </c>
      <c r="G285" t="s">
        <v>2013</v>
      </c>
      <c r="H285" t="s">
        <v>2014</v>
      </c>
      <c r="I285" t="s">
        <v>2020</v>
      </c>
      <c r="J285" t="s">
        <v>2024</v>
      </c>
      <c r="K285">
        <v>24</v>
      </c>
      <c r="L285" t="s">
        <v>2025</v>
      </c>
      <c r="M285" t="s">
        <v>2036</v>
      </c>
      <c r="N285" t="str">
        <f t="shared" si="8"/>
        <v>Fail</v>
      </c>
      <c r="O285" t="str">
        <f t="shared" si="9"/>
        <v>UnderAge</v>
      </c>
      <c r="P285" t="str" cm="1">
        <f t="array" ref="P285">_xlfn.IFS(K285&gt;90,"Excellent",K285&gt;80,"Very Good",K285&gt;70,"Good",K285&gt;=50,"Poor",K285&lt;50,"Fail")</f>
        <v>Fail</v>
      </c>
    </row>
    <row r="286" spans="1:16" x14ac:dyDescent="0.25">
      <c r="A286" t="s">
        <v>295</v>
      </c>
      <c r="B286" t="s">
        <v>1294</v>
      </c>
      <c r="C286" t="s">
        <v>2244</v>
      </c>
      <c r="D286" t="s">
        <v>2589</v>
      </c>
      <c r="E286" t="s">
        <v>2008</v>
      </c>
      <c r="F286">
        <v>16</v>
      </c>
      <c r="G286" t="s">
        <v>2013</v>
      </c>
      <c r="H286" t="s">
        <v>2014</v>
      </c>
      <c r="I286" t="s">
        <v>2018</v>
      </c>
      <c r="J286" t="s">
        <v>2024</v>
      </c>
      <c r="K286">
        <v>98</v>
      </c>
      <c r="L286" t="s">
        <v>2027</v>
      </c>
      <c r="M286" t="s">
        <v>2035</v>
      </c>
      <c r="N286" t="str">
        <f t="shared" si="8"/>
        <v>Pass</v>
      </c>
      <c r="O286" t="str">
        <f t="shared" si="9"/>
        <v>UnderAge</v>
      </c>
      <c r="P286" t="str" cm="1">
        <f t="array" ref="P286">_xlfn.IFS(K286&gt;90,"Excellent",K286&gt;80,"Very Good",K286&gt;70,"Good",K286&gt;=50,"Poor",K286&lt;50,"Fail")</f>
        <v>Excellent</v>
      </c>
    </row>
    <row r="287" spans="1:16" x14ac:dyDescent="0.25">
      <c r="A287" t="s">
        <v>296</v>
      </c>
      <c r="B287" t="s">
        <v>1295</v>
      </c>
      <c r="C287" t="s">
        <v>2065</v>
      </c>
      <c r="D287" t="s">
        <v>2590</v>
      </c>
      <c r="E287" t="s">
        <v>2008</v>
      </c>
      <c r="F287">
        <v>16</v>
      </c>
      <c r="G287" t="s">
        <v>2013</v>
      </c>
      <c r="H287" t="s">
        <v>2015</v>
      </c>
      <c r="I287" t="s">
        <v>2022</v>
      </c>
      <c r="J287" t="s">
        <v>2023</v>
      </c>
      <c r="K287">
        <v>38</v>
      </c>
      <c r="L287" t="s">
        <v>2033</v>
      </c>
      <c r="M287" t="s">
        <v>2036</v>
      </c>
      <c r="N287" t="str">
        <f t="shared" si="8"/>
        <v>Fail</v>
      </c>
      <c r="O287" t="str">
        <f t="shared" si="9"/>
        <v>UnderAge</v>
      </c>
      <c r="P287" t="str" cm="1">
        <f t="array" ref="P287">_xlfn.IFS(K287&gt;90,"Excellent",K287&gt;80,"Very Good",K287&gt;70,"Good",K287&gt;=50,"Poor",K287&lt;50,"Fail")</f>
        <v>Fail</v>
      </c>
    </row>
    <row r="288" spans="1:16" x14ac:dyDescent="0.25">
      <c r="A288" t="s">
        <v>297</v>
      </c>
      <c r="B288" t="s">
        <v>1296</v>
      </c>
      <c r="C288" t="s">
        <v>2069</v>
      </c>
      <c r="D288" t="s">
        <v>2591</v>
      </c>
      <c r="E288" t="s">
        <v>2008</v>
      </c>
      <c r="F288">
        <v>17</v>
      </c>
      <c r="G288" t="s">
        <v>2011</v>
      </c>
      <c r="H288" t="s">
        <v>2015</v>
      </c>
      <c r="I288" t="s">
        <v>2018</v>
      </c>
      <c r="J288" t="s">
        <v>2024</v>
      </c>
      <c r="K288">
        <v>59</v>
      </c>
      <c r="L288" t="s">
        <v>2026</v>
      </c>
      <c r="M288" t="s">
        <v>2035</v>
      </c>
      <c r="N288" t="str">
        <f t="shared" si="8"/>
        <v>Pass</v>
      </c>
      <c r="O288" t="str">
        <f t="shared" si="9"/>
        <v>UnderAge</v>
      </c>
      <c r="P288" t="str" cm="1">
        <f t="array" ref="P288">_xlfn.IFS(K288&gt;90,"Excellent",K288&gt;80,"Very Good",K288&gt;70,"Good",K288&gt;=50,"Poor",K288&lt;50,"Fail")</f>
        <v>Poor</v>
      </c>
    </row>
    <row r="289" spans="1:16" x14ac:dyDescent="0.25">
      <c r="A289" t="s">
        <v>298</v>
      </c>
      <c r="B289" t="s">
        <v>1297</v>
      </c>
      <c r="C289" t="s">
        <v>2245</v>
      </c>
      <c r="D289" t="s">
        <v>2592</v>
      </c>
      <c r="E289" t="s">
        <v>2007</v>
      </c>
      <c r="F289">
        <v>18</v>
      </c>
      <c r="G289" t="s">
        <v>2012</v>
      </c>
      <c r="H289" t="s">
        <v>2015</v>
      </c>
      <c r="I289" t="s">
        <v>2022</v>
      </c>
      <c r="J289" t="s">
        <v>2023</v>
      </c>
      <c r="K289">
        <v>37</v>
      </c>
      <c r="L289" t="s">
        <v>2031</v>
      </c>
      <c r="M289" t="s">
        <v>2036</v>
      </c>
      <c r="N289" t="str">
        <f t="shared" si="8"/>
        <v>Fail</v>
      </c>
      <c r="O289" t="str">
        <f t="shared" si="9"/>
        <v>Adult</v>
      </c>
      <c r="P289" t="str" cm="1">
        <f t="array" ref="P289">_xlfn.IFS(K289&gt;90,"Excellent",K289&gt;80,"Very Good",K289&gt;70,"Good",K289&gt;=50,"Poor",K289&lt;50,"Fail")</f>
        <v>Fail</v>
      </c>
    </row>
    <row r="290" spans="1:16" x14ac:dyDescent="0.25">
      <c r="A290" t="s">
        <v>299</v>
      </c>
      <c r="B290" t="s">
        <v>1298</v>
      </c>
      <c r="C290" t="s">
        <v>2246</v>
      </c>
      <c r="D290" t="s">
        <v>2593</v>
      </c>
      <c r="E290" t="s">
        <v>2007</v>
      </c>
      <c r="F290">
        <v>14</v>
      </c>
      <c r="G290" t="s">
        <v>2009</v>
      </c>
      <c r="H290" t="s">
        <v>2016</v>
      </c>
      <c r="I290" t="s">
        <v>2020</v>
      </c>
      <c r="J290" t="s">
        <v>2023</v>
      </c>
      <c r="K290">
        <v>87</v>
      </c>
      <c r="L290" t="s">
        <v>2032</v>
      </c>
      <c r="M290" t="s">
        <v>2035</v>
      </c>
      <c r="N290" t="str">
        <f t="shared" si="8"/>
        <v>Pass</v>
      </c>
      <c r="O290" t="str">
        <f t="shared" si="9"/>
        <v>UnderAge</v>
      </c>
      <c r="P290" t="str" cm="1">
        <f t="array" ref="P290">_xlfn.IFS(K290&gt;90,"Excellent",K290&gt;80,"Very Good",K290&gt;70,"Good",K290&gt;=50,"Poor",K290&lt;50,"Fail")</f>
        <v>Very Good</v>
      </c>
    </row>
    <row r="291" spans="1:16" x14ac:dyDescent="0.25">
      <c r="A291" t="s">
        <v>300</v>
      </c>
      <c r="B291" t="s">
        <v>1299</v>
      </c>
      <c r="C291" t="s">
        <v>2247</v>
      </c>
      <c r="D291" t="s">
        <v>2594</v>
      </c>
      <c r="E291" t="s">
        <v>2008</v>
      </c>
      <c r="F291">
        <v>16</v>
      </c>
      <c r="G291" t="s">
        <v>2009</v>
      </c>
      <c r="H291" t="s">
        <v>2017</v>
      </c>
      <c r="I291" t="s">
        <v>2019</v>
      </c>
      <c r="J291" t="s">
        <v>2024</v>
      </c>
      <c r="K291">
        <v>33</v>
      </c>
      <c r="L291" t="s">
        <v>2026</v>
      </c>
      <c r="M291" t="s">
        <v>2036</v>
      </c>
      <c r="N291" t="str">
        <f t="shared" si="8"/>
        <v>Fail</v>
      </c>
      <c r="O291" t="str">
        <f t="shared" si="9"/>
        <v>UnderAge</v>
      </c>
      <c r="P291" t="str" cm="1">
        <f t="array" ref="P291">_xlfn.IFS(K291&gt;90,"Excellent",K291&gt;80,"Very Good",K291&gt;70,"Good",K291&gt;=50,"Poor",K291&lt;50,"Fail")</f>
        <v>Fail</v>
      </c>
    </row>
    <row r="292" spans="1:16" x14ac:dyDescent="0.25">
      <c r="A292" t="s">
        <v>301</v>
      </c>
      <c r="B292" t="s">
        <v>1300</v>
      </c>
      <c r="C292" t="s">
        <v>2094</v>
      </c>
      <c r="D292" t="s">
        <v>2595</v>
      </c>
      <c r="E292" t="s">
        <v>2007</v>
      </c>
      <c r="F292">
        <v>14</v>
      </c>
      <c r="G292" t="s">
        <v>2010</v>
      </c>
      <c r="H292" t="s">
        <v>2016</v>
      </c>
      <c r="I292" t="s">
        <v>2018</v>
      </c>
      <c r="J292" t="s">
        <v>2024</v>
      </c>
      <c r="K292">
        <v>88</v>
      </c>
      <c r="L292" t="s">
        <v>2027</v>
      </c>
      <c r="M292" t="s">
        <v>2035</v>
      </c>
      <c r="N292" t="str">
        <f t="shared" si="8"/>
        <v>Pass</v>
      </c>
      <c r="O292" t="str">
        <f t="shared" si="9"/>
        <v>UnderAge</v>
      </c>
      <c r="P292" t="str" cm="1">
        <f t="array" ref="P292">_xlfn.IFS(K292&gt;90,"Excellent",K292&gt;80,"Very Good",K292&gt;70,"Good",K292&gt;=50,"Poor",K292&lt;50,"Fail")</f>
        <v>Very Good</v>
      </c>
    </row>
    <row r="293" spans="1:16" x14ac:dyDescent="0.25">
      <c r="A293" t="s">
        <v>302</v>
      </c>
      <c r="B293" t="s">
        <v>1301</v>
      </c>
      <c r="C293" t="s">
        <v>2208</v>
      </c>
      <c r="D293" t="s">
        <v>2534</v>
      </c>
      <c r="E293" t="s">
        <v>2008</v>
      </c>
      <c r="F293">
        <v>16</v>
      </c>
      <c r="G293" t="s">
        <v>2011</v>
      </c>
      <c r="H293" t="s">
        <v>2017</v>
      </c>
      <c r="I293" t="s">
        <v>2018</v>
      </c>
      <c r="J293" t="s">
        <v>2023</v>
      </c>
      <c r="K293">
        <v>23</v>
      </c>
      <c r="L293" t="s">
        <v>2028</v>
      </c>
      <c r="M293" t="s">
        <v>2036</v>
      </c>
      <c r="N293" t="str">
        <f t="shared" si="8"/>
        <v>Fail</v>
      </c>
      <c r="O293" t="str">
        <f t="shared" si="9"/>
        <v>UnderAge</v>
      </c>
      <c r="P293" t="str" cm="1">
        <f t="array" ref="P293">_xlfn.IFS(K293&gt;90,"Excellent",K293&gt;80,"Very Good",K293&gt;70,"Good",K293&gt;=50,"Poor",K293&lt;50,"Fail")</f>
        <v>Fail</v>
      </c>
    </row>
    <row r="294" spans="1:16" x14ac:dyDescent="0.25">
      <c r="A294" t="s">
        <v>303</v>
      </c>
      <c r="B294" t="s">
        <v>1302</v>
      </c>
      <c r="C294" t="s">
        <v>2192</v>
      </c>
      <c r="D294" t="s">
        <v>2596</v>
      </c>
      <c r="E294" t="s">
        <v>2007</v>
      </c>
      <c r="F294">
        <v>14</v>
      </c>
      <c r="G294" t="s">
        <v>2011</v>
      </c>
      <c r="H294" t="s">
        <v>2016</v>
      </c>
      <c r="I294" t="s">
        <v>2022</v>
      </c>
      <c r="J294" t="s">
        <v>2023</v>
      </c>
      <c r="K294">
        <v>36</v>
      </c>
      <c r="L294" t="s">
        <v>2027</v>
      </c>
      <c r="M294" t="s">
        <v>2036</v>
      </c>
      <c r="N294" t="str">
        <f t="shared" si="8"/>
        <v>Fail</v>
      </c>
      <c r="O294" t="str">
        <f t="shared" si="9"/>
        <v>UnderAge</v>
      </c>
      <c r="P294" t="str" cm="1">
        <f t="array" ref="P294">_xlfn.IFS(K294&gt;90,"Excellent",K294&gt;80,"Very Good",K294&gt;70,"Good",K294&gt;=50,"Poor",K294&lt;50,"Fail")</f>
        <v>Fail</v>
      </c>
    </row>
    <row r="295" spans="1:16" x14ac:dyDescent="0.25">
      <c r="A295" t="s">
        <v>304</v>
      </c>
      <c r="B295" t="s">
        <v>1303</v>
      </c>
      <c r="C295" t="s">
        <v>2248</v>
      </c>
      <c r="D295" t="s">
        <v>2597</v>
      </c>
      <c r="E295" t="s">
        <v>2008</v>
      </c>
      <c r="F295">
        <v>15</v>
      </c>
      <c r="G295" t="s">
        <v>2012</v>
      </c>
      <c r="H295" t="s">
        <v>2017</v>
      </c>
      <c r="I295" t="s">
        <v>2021</v>
      </c>
      <c r="J295" t="s">
        <v>2024</v>
      </c>
      <c r="K295">
        <v>36</v>
      </c>
      <c r="L295" t="s">
        <v>2029</v>
      </c>
      <c r="M295" t="s">
        <v>2036</v>
      </c>
      <c r="N295" t="str">
        <f t="shared" si="8"/>
        <v>Fail</v>
      </c>
      <c r="O295" t="str">
        <f t="shared" si="9"/>
        <v>UnderAge</v>
      </c>
      <c r="P295" t="str" cm="1">
        <f t="array" ref="P295">_xlfn.IFS(K295&gt;90,"Excellent",K295&gt;80,"Very Good",K295&gt;70,"Good",K295&gt;=50,"Poor",K295&lt;50,"Fail")</f>
        <v>Fail</v>
      </c>
    </row>
    <row r="296" spans="1:16" x14ac:dyDescent="0.25">
      <c r="A296" t="s">
        <v>305</v>
      </c>
      <c r="B296" t="s">
        <v>1304</v>
      </c>
      <c r="C296" t="s">
        <v>2249</v>
      </c>
      <c r="D296" t="s">
        <v>2598</v>
      </c>
      <c r="E296" t="s">
        <v>2007</v>
      </c>
      <c r="F296">
        <v>14</v>
      </c>
      <c r="G296" t="s">
        <v>2012</v>
      </c>
      <c r="H296" t="s">
        <v>2015</v>
      </c>
      <c r="I296" t="s">
        <v>2022</v>
      </c>
      <c r="J296" t="s">
        <v>2024</v>
      </c>
      <c r="K296">
        <v>69</v>
      </c>
      <c r="L296" t="s">
        <v>2030</v>
      </c>
      <c r="M296" t="s">
        <v>2035</v>
      </c>
      <c r="N296" t="str">
        <f t="shared" si="8"/>
        <v>Pass</v>
      </c>
      <c r="O296" t="str">
        <f t="shared" si="9"/>
        <v>UnderAge</v>
      </c>
      <c r="P296" t="str" cm="1">
        <f t="array" ref="P296">_xlfn.IFS(K296&gt;90,"Excellent",K296&gt;80,"Very Good",K296&gt;70,"Good",K296&gt;=50,"Poor",K296&lt;50,"Fail")</f>
        <v>Poor</v>
      </c>
    </row>
    <row r="297" spans="1:16" x14ac:dyDescent="0.25">
      <c r="A297" t="s">
        <v>306</v>
      </c>
      <c r="B297" t="s">
        <v>1305</v>
      </c>
      <c r="C297" t="s">
        <v>2250</v>
      </c>
      <c r="D297" t="s">
        <v>2534</v>
      </c>
      <c r="E297" t="s">
        <v>2007</v>
      </c>
      <c r="F297">
        <v>14</v>
      </c>
      <c r="G297" t="s">
        <v>2012</v>
      </c>
      <c r="H297" t="s">
        <v>2015</v>
      </c>
      <c r="I297" t="s">
        <v>2021</v>
      </c>
      <c r="J297" t="s">
        <v>2024</v>
      </c>
      <c r="K297">
        <v>87</v>
      </c>
      <c r="L297" t="s">
        <v>2028</v>
      </c>
      <c r="M297" t="s">
        <v>2035</v>
      </c>
      <c r="N297" t="str">
        <f t="shared" si="8"/>
        <v>Pass</v>
      </c>
      <c r="O297" t="str">
        <f t="shared" si="9"/>
        <v>UnderAge</v>
      </c>
      <c r="P297" t="str" cm="1">
        <f t="array" ref="P297">_xlfn.IFS(K297&gt;90,"Excellent",K297&gt;80,"Very Good",K297&gt;70,"Good",K297&gt;=50,"Poor",K297&lt;50,"Fail")</f>
        <v>Very Good</v>
      </c>
    </row>
    <row r="298" spans="1:16" x14ac:dyDescent="0.25">
      <c r="A298" t="s">
        <v>307</v>
      </c>
      <c r="B298" t="s">
        <v>1306</v>
      </c>
      <c r="C298" t="s">
        <v>2148</v>
      </c>
      <c r="D298" t="s">
        <v>2529</v>
      </c>
      <c r="E298" t="s">
        <v>2008</v>
      </c>
      <c r="F298">
        <v>14</v>
      </c>
      <c r="G298" t="s">
        <v>2009</v>
      </c>
      <c r="H298" t="s">
        <v>2016</v>
      </c>
      <c r="I298" t="s">
        <v>2018</v>
      </c>
      <c r="J298" t="s">
        <v>2023</v>
      </c>
      <c r="K298">
        <v>64</v>
      </c>
      <c r="L298" t="s">
        <v>2034</v>
      </c>
      <c r="M298" t="s">
        <v>2035</v>
      </c>
      <c r="N298" t="str">
        <f t="shared" si="8"/>
        <v>Pass</v>
      </c>
      <c r="O298" t="str">
        <f t="shared" si="9"/>
        <v>UnderAge</v>
      </c>
      <c r="P298" t="str" cm="1">
        <f t="array" ref="P298">_xlfn.IFS(K298&gt;90,"Excellent",K298&gt;80,"Very Good",K298&gt;70,"Good",K298&gt;=50,"Poor",K298&lt;50,"Fail")</f>
        <v>Poor</v>
      </c>
    </row>
    <row r="299" spans="1:16" x14ac:dyDescent="0.25">
      <c r="A299" t="s">
        <v>308</v>
      </c>
      <c r="B299" t="s">
        <v>1307</v>
      </c>
      <c r="C299" t="s">
        <v>2169</v>
      </c>
      <c r="D299" t="s">
        <v>2462</v>
      </c>
      <c r="E299" t="s">
        <v>2008</v>
      </c>
      <c r="F299">
        <v>16</v>
      </c>
      <c r="G299" t="s">
        <v>2013</v>
      </c>
      <c r="H299" t="s">
        <v>2016</v>
      </c>
      <c r="I299" t="s">
        <v>2021</v>
      </c>
      <c r="J299" t="s">
        <v>2023</v>
      </c>
      <c r="K299">
        <v>96</v>
      </c>
      <c r="L299" t="s">
        <v>2034</v>
      </c>
      <c r="M299" t="s">
        <v>2035</v>
      </c>
      <c r="N299" t="str">
        <f t="shared" si="8"/>
        <v>Pass</v>
      </c>
      <c r="O299" t="str">
        <f t="shared" si="9"/>
        <v>UnderAge</v>
      </c>
      <c r="P299" t="str" cm="1">
        <f t="array" ref="P299">_xlfn.IFS(K299&gt;90,"Excellent",K299&gt;80,"Very Good",K299&gt;70,"Good",K299&gt;=50,"Poor",K299&lt;50,"Fail")</f>
        <v>Excellent</v>
      </c>
    </row>
    <row r="300" spans="1:16" x14ac:dyDescent="0.25">
      <c r="A300" t="s">
        <v>309</v>
      </c>
      <c r="B300" t="s">
        <v>1308</v>
      </c>
      <c r="C300" t="s">
        <v>2251</v>
      </c>
      <c r="D300" t="s">
        <v>2599</v>
      </c>
      <c r="E300" t="s">
        <v>2007</v>
      </c>
      <c r="F300">
        <v>15</v>
      </c>
      <c r="G300" t="s">
        <v>2009</v>
      </c>
      <c r="H300" t="s">
        <v>2016</v>
      </c>
      <c r="I300" t="s">
        <v>2021</v>
      </c>
      <c r="J300" t="s">
        <v>2023</v>
      </c>
      <c r="K300">
        <v>55</v>
      </c>
      <c r="L300" t="s">
        <v>2030</v>
      </c>
      <c r="M300" t="s">
        <v>2035</v>
      </c>
      <c r="N300" t="str">
        <f t="shared" si="8"/>
        <v>Pass</v>
      </c>
      <c r="O300" t="str">
        <f t="shared" si="9"/>
        <v>UnderAge</v>
      </c>
      <c r="P300" t="str" cm="1">
        <f t="array" ref="P300">_xlfn.IFS(K300&gt;90,"Excellent",K300&gt;80,"Very Good",K300&gt;70,"Good",K300&gt;=50,"Poor",K300&lt;50,"Fail")</f>
        <v>Poor</v>
      </c>
    </row>
    <row r="301" spans="1:16" x14ac:dyDescent="0.25">
      <c r="A301" t="s">
        <v>310</v>
      </c>
      <c r="B301" t="s">
        <v>1309</v>
      </c>
      <c r="C301" t="s">
        <v>2068</v>
      </c>
      <c r="D301" t="s">
        <v>2600</v>
      </c>
      <c r="E301" t="s">
        <v>2008</v>
      </c>
      <c r="F301">
        <v>17</v>
      </c>
      <c r="G301" t="s">
        <v>2010</v>
      </c>
      <c r="H301" t="s">
        <v>2014</v>
      </c>
      <c r="I301" t="s">
        <v>2020</v>
      </c>
      <c r="J301" t="s">
        <v>2024</v>
      </c>
      <c r="K301">
        <v>37</v>
      </c>
      <c r="L301" t="s">
        <v>2032</v>
      </c>
      <c r="M301" t="s">
        <v>2036</v>
      </c>
      <c r="N301" t="str">
        <f t="shared" si="8"/>
        <v>Fail</v>
      </c>
      <c r="O301" t="str">
        <f t="shared" si="9"/>
        <v>UnderAge</v>
      </c>
      <c r="P301" t="str" cm="1">
        <f t="array" ref="P301">_xlfn.IFS(K301&gt;90,"Excellent",K301&gt;80,"Very Good",K301&gt;70,"Good",K301&gt;=50,"Poor",K301&lt;50,"Fail")</f>
        <v>Fail</v>
      </c>
    </row>
    <row r="302" spans="1:16" x14ac:dyDescent="0.25">
      <c r="A302" t="s">
        <v>311</v>
      </c>
      <c r="B302" t="s">
        <v>1310</v>
      </c>
      <c r="C302" t="s">
        <v>2252</v>
      </c>
      <c r="D302" t="s">
        <v>2601</v>
      </c>
      <c r="E302" t="s">
        <v>2008</v>
      </c>
      <c r="F302">
        <v>18</v>
      </c>
      <c r="G302" t="s">
        <v>2011</v>
      </c>
      <c r="H302" t="s">
        <v>2017</v>
      </c>
      <c r="I302" t="s">
        <v>2020</v>
      </c>
      <c r="J302" t="s">
        <v>2023</v>
      </c>
      <c r="K302">
        <v>47</v>
      </c>
      <c r="L302" t="s">
        <v>2032</v>
      </c>
      <c r="M302" t="s">
        <v>2036</v>
      </c>
      <c r="N302" t="str">
        <f t="shared" si="8"/>
        <v>Fail</v>
      </c>
      <c r="O302" t="str">
        <f t="shared" si="9"/>
        <v>Adult</v>
      </c>
      <c r="P302" t="str" cm="1">
        <f t="array" ref="P302">_xlfn.IFS(K302&gt;90,"Excellent",K302&gt;80,"Very Good",K302&gt;70,"Good",K302&gt;=50,"Poor",K302&lt;50,"Fail")</f>
        <v>Fail</v>
      </c>
    </row>
    <row r="303" spans="1:16" x14ac:dyDescent="0.25">
      <c r="A303" t="s">
        <v>312</v>
      </c>
      <c r="B303" t="s">
        <v>1311</v>
      </c>
      <c r="C303" t="s">
        <v>2148</v>
      </c>
      <c r="D303" t="s">
        <v>2602</v>
      </c>
      <c r="E303" t="s">
        <v>2007</v>
      </c>
      <c r="F303">
        <v>15</v>
      </c>
      <c r="G303" t="s">
        <v>2011</v>
      </c>
      <c r="H303" t="s">
        <v>2017</v>
      </c>
      <c r="I303" t="s">
        <v>2021</v>
      </c>
      <c r="J303" t="s">
        <v>2024</v>
      </c>
      <c r="K303">
        <v>82</v>
      </c>
      <c r="L303" t="s">
        <v>2030</v>
      </c>
      <c r="M303" t="s">
        <v>2035</v>
      </c>
      <c r="N303" t="str">
        <f t="shared" si="8"/>
        <v>Pass</v>
      </c>
      <c r="O303" t="str">
        <f t="shared" si="9"/>
        <v>UnderAge</v>
      </c>
      <c r="P303" t="str" cm="1">
        <f t="array" ref="P303">_xlfn.IFS(K303&gt;90,"Excellent",K303&gt;80,"Very Good",K303&gt;70,"Good",K303&gt;=50,"Poor",K303&lt;50,"Fail")</f>
        <v>Very Good</v>
      </c>
    </row>
    <row r="304" spans="1:16" x14ac:dyDescent="0.25">
      <c r="A304" t="s">
        <v>313</v>
      </c>
      <c r="B304" t="s">
        <v>1312</v>
      </c>
      <c r="C304" t="s">
        <v>2148</v>
      </c>
      <c r="D304" t="s">
        <v>2603</v>
      </c>
      <c r="E304" t="s">
        <v>2008</v>
      </c>
      <c r="F304">
        <v>15</v>
      </c>
      <c r="G304" t="s">
        <v>2011</v>
      </c>
      <c r="H304" t="s">
        <v>2016</v>
      </c>
      <c r="I304" t="s">
        <v>2019</v>
      </c>
      <c r="J304" t="s">
        <v>2024</v>
      </c>
      <c r="K304">
        <v>87</v>
      </c>
      <c r="L304" t="s">
        <v>2028</v>
      </c>
      <c r="M304" t="s">
        <v>2035</v>
      </c>
      <c r="N304" t="str">
        <f t="shared" si="8"/>
        <v>Pass</v>
      </c>
      <c r="O304" t="str">
        <f t="shared" si="9"/>
        <v>UnderAge</v>
      </c>
      <c r="P304" t="str" cm="1">
        <f t="array" ref="P304">_xlfn.IFS(K304&gt;90,"Excellent",K304&gt;80,"Very Good",K304&gt;70,"Good",K304&gt;=50,"Poor",K304&lt;50,"Fail")</f>
        <v>Very Good</v>
      </c>
    </row>
    <row r="305" spans="1:16" x14ac:dyDescent="0.25">
      <c r="A305" t="s">
        <v>314</v>
      </c>
      <c r="B305" t="s">
        <v>1313</v>
      </c>
      <c r="C305" t="s">
        <v>2070</v>
      </c>
      <c r="D305" t="s">
        <v>2251</v>
      </c>
      <c r="E305" t="s">
        <v>2007</v>
      </c>
      <c r="F305">
        <v>18</v>
      </c>
      <c r="G305" t="s">
        <v>2011</v>
      </c>
      <c r="H305" t="s">
        <v>2017</v>
      </c>
      <c r="I305" t="s">
        <v>2020</v>
      </c>
      <c r="J305" t="s">
        <v>2023</v>
      </c>
      <c r="K305">
        <v>64</v>
      </c>
      <c r="L305" t="s">
        <v>2025</v>
      </c>
      <c r="M305" t="s">
        <v>2035</v>
      </c>
      <c r="N305" t="str">
        <f t="shared" si="8"/>
        <v>Pass</v>
      </c>
      <c r="O305" t="str">
        <f t="shared" si="9"/>
        <v>Adult</v>
      </c>
      <c r="P305" t="str" cm="1">
        <f t="array" ref="P305">_xlfn.IFS(K305&gt;90,"Excellent",K305&gt;80,"Very Good",K305&gt;70,"Good",K305&gt;=50,"Poor",K305&lt;50,"Fail")</f>
        <v>Poor</v>
      </c>
    </row>
    <row r="306" spans="1:16" x14ac:dyDescent="0.25">
      <c r="A306" t="s">
        <v>315</v>
      </c>
      <c r="B306" t="s">
        <v>1314</v>
      </c>
      <c r="C306" t="s">
        <v>2253</v>
      </c>
      <c r="D306" t="s">
        <v>2256</v>
      </c>
      <c r="E306" t="s">
        <v>2007</v>
      </c>
      <c r="F306">
        <v>14</v>
      </c>
      <c r="G306" t="s">
        <v>2010</v>
      </c>
      <c r="H306" t="s">
        <v>2017</v>
      </c>
      <c r="I306" t="s">
        <v>2020</v>
      </c>
      <c r="J306" t="s">
        <v>2024</v>
      </c>
      <c r="K306">
        <v>76</v>
      </c>
      <c r="L306" t="s">
        <v>2029</v>
      </c>
      <c r="M306" t="s">
        <v>2035</v>
      </c>
      <c r="N306" t="str">
        <f t="shared" si="8"/>
        <v>Pass</v>
      </c>
      <c r="O306" t="str">
        <f t="shared" si="9"/>
        <v>UnderAge</v>
      </c>
      <c r="P306" t="str" cm="1">
        <f t="array" ref="P306">_xlfn.IFS(K306&gt;90,"Excellent",K306&gt;80,"Very Good",K306&gt;70,"Good",K306&gt;=50,"Poor",K306&lt;50,"Fail")</f>
        <v>Good</v>
      </c>
    </row>
    <row r="307" spans="1:16" x14ac:dyDescent="0.25">
      <c r="A307" t="s">
        <v>316</v>
      </c>
      <c r="B307" t="s">
        <v>1315</v>
      </c>
      <c r="C307" t="s">
        <v>2107</v>
      </c>
      <c r="D307" t="s">
        <v>2604</v>
      </c>
      <c r="E307" t="s">
        <v>2007</v>
      </c>
      <c r="F307">
        <v>17</v>
      </c>
      <c r="G307" t="s">
        <v>2009</v>
      </c>
      <c r="H307" t="s">
        <v>2014</v>
      </c>
      <c r="I307" t="s">
        <v>2019</v>
      </c>
      <c r="J307" t="s">
        <v>2024</v>
      </c>
      <c r="K307">
        <v>27</v>
      </c>
      <c r="L307" t="s">
        <v>2034</v>
      </c>
      <c r="M307" t="s">
        <v>2036</v>
      </c>
      <c r="N307" t="str">
        <f t="shared" si="8"/>
        <v>Fail</v>
      </c>
      <c r="O307" t="str">
        <f t="shared" si="9"/>
        <v>UnderAge</v>
      </c>
      <c r="P307" t="str" cm="1">
        <f t="array" ref="P307">_xlfn.IFS(K307&gt;90,"Excellent",K307&gt;80,"Very Good",K307&gt;70,"Good",K307&gt;=50,"Poor",K307&lt;50,"Fail")</f>
        <v>Fail</v>
      </c>
    </row>
    <row r="308" spans="1:16" x14ac:dyDescent="0.25">
      <c r="A308" t="s">
        <v>317</v>
      </c>
      <c r="B308" t="s">
        <v>1316</v>
      </c>
      <c r="C308" t="s">
        <v>2254</v>
      </c>
      <c r="D308" t="s">
        <v>2210</v>
      </c>
      <c r="E308" t="s">
        <v>2007</v>
      </c>
      <c r="F308">
        <v>14</v>
      </c>
      <c r="G308" t="s">
        <v>2010</v>
      </c>
      <c r="H308" t="s">
        <v>2017</v>
      </c>
      <c r="I308" t="s">
        <v>2018</v>
      </c>
      <c r="J308" t="s">
        <v>2023</v>
      </c>
      <c r="K308">
        <v>43</v>
      </c>
      <c r="L308" t="s">
        <v>2032</v>
      </c>
      <c r="M308" t="s">
        <v>2036</v>
      </c>
      <c r="N308" t="str">
        <f t="shared" si="8"/>
        <v>Fail</v>
      </c>
      <c r="O308" t="str">
        <f t="shared" si="9"/>
        <v>UnderAge</v>
      </c>
      <c r="P308" t="str" cm="1">
        <f t="array" ref="P308">_xlfn.IFS(K308&gt;90,"Excellent",K308&gt;80,"Very Good",K308&gt;70,"Good",K308&gt;=50,"Poor",K308&lt;50,"Fail")</f>
        <v>Fail</v>
      </c>
    </row>
    <row r="309" spans="1:16" x14ac:dyDescent="0.25">
      <c r="A309" t="s">
        <v>318</v>
      </c>
      <c r="B309" t="s">
        <v>1317</v>
      </c>
      <c r="C309" t="s">
        <v>2255</v>
      </c>
      <c r="D309" t="s">
        <v>2539</v>
      </c>
      <c r="E309" t="s">
        <v>2007</v>
      </c>
      <c r="F309">
        <v>15</v>
      </c>
      <c r="G309" t="s">
        <v>2010</v>
      </c>
      <c r="H309" t="s">
        <v>2015</v>
      </c>
      <c r="I309" t="s">
        <v>2022</v>
      </c>
      <c r="J309" t="s">
        <v>2023</v>
      </c>
      <c r="K309">
        <v>74</v>
      </c>
      <c r="L309" t="s">
        <v>2033</v>
      </c>
      <c r="M309" t="s">
        <v>2035</v>
      </c>
      <c r="N309" t="str">
        <f t="shared" si="8"/>
        <v>Pass</v>
      </c>
      <c r="O309" t="str">
        <f t="shared" si="9"/>
        <v>UnderAge</v>
      </c>
      <c r="P309" t="str" cm="1">
        <f t="array" ref="P309">_xlfn.IFS(K309&gt;90,"Excellent",K309&gt;80,"Very Good",K309&gt;70,"Good",K309&gt;=50,"Poor",K309&lt;50,"Fail")</f>
        <v>Good</v>
      </c>
    </row>
    <row r="310" spans="1:16" x14ac:dyDescent="0.25">
      <c r="A310" t="s">
        <v>319</v>
      </c>
      <c r="B310" t="s">
        <v>1318</v>
      </c>
      <c r="C310" t="s">
        <v>2150</v>
      </c>
      <c r="D310" t="s">
        <v>2510</v>
      </c>
      <c r="E310" t="s">
        <v>2008</v>
      </c>
      <c r="F310">
        <v>16</v>
      </c>
      <c r="G310" t="s">
        <v>2010</v>
      </c>
      <c r="H310" t="s">
        <v>2014</v>
      </c>
      <c r="I310" t="s">
        <v>2022</v>
      </c>
      <c r="J310" t="s">
        <v>2023</v>
      </c>
      <c r="K310">
        <v>23</v>
      </c>
      <c r="L310" t="s">
        <v>2026</v>
      </c>
      <c r="M310" t="s">
        <v>2036</v>
      </c>
      <c r="N310" t="str">
        <f t="shared" si="8"/>
        <v>Fail</v>
      </c>
      <c r="O310" t="str">
        <f t="shared" si="9"/>
        <v>UnderAge</v>
      </c>
      <c r="P310" t="str" cm="1">
        <f t="array" ref="P310">_xlfn.IFS(K310&gt;90,"Excellent",K310&gt;80,"Very Good",K310&gt;70,"Good",K310&gt;=50,"Poor",K310&lt;50,"Fail")</f>
        <v>Fail</v>
      </c>
    </row>
    <row r="311" spans="1:16" x14ac:dyDescent="0.25">
      <c r="A311" t="s">
        <v>320</v>
      </c>
      <c r="B311" t="s">
        <v>1319</v>
      </c>
      <c r="C311" t="s">
        <v>2256</v>
      </c>
      <c r="D311" t="s">
        <v>2605</v>
      </c>
      <c r="E311" t="s">
        <v>2008</v>
      </c>
      <c r="F311">
        <v>17</v>
      </c>
      <c r="G311" t="s">
        <v>2010</v>
      </c>
      <c r="H311" t="s">
        <v>2017</v>
      </c>
      <c r="I311" t="s">
        <v>2018</v>
      </c>
      <c r="J311" t="s">
        <v>2024</v>
      </c>
      <c r="K311">
        <v>87</v>
      </c>
      <c r="L311" t="s">
        <v>2027</v>
      </c>
      <c r="M311" t="s">
        <v>2035</v>
      </c>
      <c r="N311" t="str">
        <f t="shared" si="8"/>
        <v>Pass</v>
      </c>
      <c r="O311" t="str">
        <f t="shared" si="9"/>
        <v>UnderAge</v>
      </c>
      <c r="P311" t="str" cm="1">
        <f t="array" ref="P311">_xlfn.IFS(K311&gt;90,"Excellent",K311&gt;80,"Very Good",K311&gt;70,"Good",K311&gt;=50,"Poor",K311&lt;50,"Fail")</f>
        <v>Very Good</v>
      </c>
    </row>
    <row r="312" spans="1:16" x14ac:dyDescent="0.25">
      <c r="A312" t="s">
        <v>321</v>
      </c>
      <c r="B312" t="s">
        <v>1320</v>
      </c>
      <c r="C312" t="s">
        <v>2201</v>
      </c>
      <c r="D312" t="s">
        <v>2465</v>
      </c>
      <c r="E312" t="s">
        <v>2007</v>
      </c>
      <c r="F312">
        <v>14</v>
      </c>
      <c r="G312" t="s">
        <v>2010</v>
      </c>
      <c r="H312" t="s">
        <v>2017</v>
      </c>
      <c r="I312" t="s">
        <v>2019</v>
      </c>
      <c r="J312" t="s">
        <v>2023</v>
      </c>
      <c r="K312">
        <v>43</v>
      </c>
      <c r="L312" t="s">
        <v>2025</v>
      </c>
      <c r="M312" t="s">
        <v>2036</v>
      </c>
      <c r="N312" t="str">
        <f t="shared" si="8"/>
        <v>Fail</v>
      </c>
      <c r="O312" t="str">
        <f t="shared" si="9"/>
        <v>UnderAge</v>
      </c>
      <c r="P312" t="str" cm="1">
        <f t="array" ref="P312">_xlfn.IFS(K312&gt;90,"Excellent",K312&gt;80,"Very Good",K312&gt;70,"Good",K312&gt;=50,"Poor",K312&lt;50,"Fail")</f>
        <v>Fail</v>
      </c>
    </row>
    <row r="313" spans="1:16" x14ac:dyDescent="0.25">
      <c r="A313" t="s">
        <v>322</v>
      </c>
      <c r="B313" t="s">
        <v>1321</v>
      </c>
      <c r="C313" t="s">
        <v>2139</v>
      </c>
      <c r="D313" t="s">
        <v>2319</v>
      </c>
      <c r="E313" t="s">
        <v>2008</v>
      </c>
      <c r="F313">
        <v>14</v>
      </c>
      <c r="G313" t="s">
        <v>2009</v>
      </c>
      <c r="H313" t="s">
        <v>2014</v>
      </c>
      <c r="I313" t="s">
        <v>2021</v>
      </c>
      <c r="J313" t="s">
        <v>2024</v>
      </c>
      <c r="K313">
        <v>5</v>
      </c>
      <c r="L313" t="s">
        <v>2026</v>
      </c>
      <c r="M313" t="s">
        <v>2036</v>
      </c>
      <c r="N313" t="str">
        <f t="shared" si="8"/>
        <v>Fail</v>
      </c>
      <c r="O313" t="str">
        <f t="shared" si="9"/>
        <v>UnderAge</v>
      </c>
      <c r="P313" t="str" cm="1">
        <f t="array" ref="P313">_xlfn.IFS(K313&gt;90,"Excellent",K313&gt;80,"Very Good",K313&gt;70,"Good",K313&gt;=50,"Poor",K313&lt;50,"Fail")</f>
        <v>Fail</v>
      </c>
    </row>
    <row r="314" spans="1:16" x14ac:dyDescent="0.25">
      <c r="A314" t="s">
        <v>323</v>
      </c>
      <c r="B314" t="s">
        <v>1322</v>
      </c>
      <c r="C314" t="s">
        <v>2094</v>
      </c>
      <c r="D314" t="s">
        <v>2466</v>
      </c>
      <c r="E314" t="s">
        <v>2007</v>
      </c>
      <c r="F314">
        <v>16</v>
      </c>
      <c r="G314" t="s">
        <v>2013</v>
      </c>
      <c r="H314" t="s">
        <v>2016</v>
      </c>
      <c r="I314" t="s">
        <v>2021</v>
      </c>
      <c r="J314" t="s">
        <v>2023</v>
      </c>
      <c r="K314">
        <v>57</v>
      </c>
      <c r="L314" t="s">
        <v>2025</v>
      </c>
      <c r="M314" t="s">
        <v>2035</v>
      </c>
      <c r="N314" t="str">
        <f t="shared" si="8"/>
        <v>Pass</v>
      </c>
      <c r="O314" t="str">
        <f t="shared" si="9"/>
        <v>UnderAge</v>
      </c>
      <c r="P314" t="str" cm="1">
        <f t="array" ref="P314">_xlfn.IFS(K314&gt;90,"Excellent",K314&gt;80,"Very Good",K314&gt;70,"Good",K314&gt;=50,"Poor",K314&lt;50,"Fail")</f>
        <v>Poor</v>
      </c>
    </row>
    <row r="315" spans="1:16" x14ac:dyDescent="0.25">
      <c r="A315" t="s">
        <v>324</v>
      </c>
      <c r="B315" t="s">
        <v>1323</v>
      </c>
      <c r="C315" t="s">
        <v>2071</v>
      </c>
      <c r="D315" t="s">
        <v>2044</v>
      </c>
      <c r="E315" t="s">
        <v>2008</v>
      </c>
      <c r="F315">
        <v>18</v>
      </c>
      <c r="G315" t="s">
        <v>2013</v>
      </c>
      <c r="H315" t="s">
        <v>2014</v>
      </c>
      <c r="I315" t="s">
        <v>2019</v>
      </c>
      <c r="J315" t="s">
        <v>2023</v>
      </c>
      <c r="K315">
        <v>26</v>
      </c>
      <c r="L315" t="s">
        <v>2032</v>
      </c>
      <c r="M315" t="s">
        <v>2036</v>
      </c>
      <c r="N315" t="str">
        <f t="shared" si="8"/>
        <v>Fail</v>
      </c>
      <c r="O315" t="str">
        <f t="shared" si="9"/>
        <v>Adult</v>
      </c>
      <c r="P315" t="str" cm="1">
        <f t="array" ref="P315">_xlfn.IFS(K315&gt;90,"Excellent",K315&gt;80,"Very Good",K315&gt;70,"Good",K315&gt;=50,"Poor",K315&lt;50,"Fail")</f>
        <v>Fail</v>
      </c>
    </row>
    <row r="316" spans="1:16" x14ac:dyDescent="0.25">
      <c r="A316" t="s">
        <v>325</v>
      </c>
      <c r="B316" t="s">
        <v>1324</v>
      </c>
      <c r="C316" t="s">
        <v>2107</v>
      </c>
      <c r="D316" t="s">
        <v>2582</v>
      </c>
      <c r="E316" t="s">
        <v>2007</v>
      </c>
      <c r="F316">
        <v>17</v>
      </c>
      <c r="G316" t="s">
        <v>2013</v>
      </c>
      <c r="H316" t="s">
        <v>2016</v>
      </c>
      <c r="I316" t="s">
        <v>2022</v>
      </c>
      <c r="J316" t="s">
        <v>2024</v>
      </c>
      <c r="K316">
        <v>85</v>
      </c>
      <c r="L316" t="s">
        <v>2033</v>
      </c>
      <c r="M316" t="s">
        <v>2035</v>
      </c>
      <c r="N316" t="str">
        <f t="shared" si="8"/>
        <v>Pass</v>
      </c>
      <c r="O316" t="str">
        <f t="shared" si="9"/>
        <v>UnderAge</v>
      </c>
      <c r="P316" t="str" cm="1">
        <f t="array" ref="P316">_xlfn.IFS(K316&gt;90,"Excellent",K316&gt;80,"Very Good",K316&gt;70,"Good",K316&gt;=50,"Poor",K316&lt;50,"Fail")</f>
        <v>Very Good</v>
      </c>
    </row>
    <row r="317" spans="1:16" x14ac:dyDescent="0.25">
      <c r="A317" t="s">
        <v>326</v>
      </c>
      <c r="B317" t="s">
        <v>1325</v>
      </c>
      <c r="C317" t="s">
        <v>2257</v>
      </c>
      <c r="D317" t="s">
        <v>2606</v>
      </c>
      <c r="E317" t="s">
        <v>2007</v>
      </c>
      <c r="F317">
        <v>18</v>
      </c>
      <c r="G317" t="s">
        <v>2012</v>
      </c>
      <c r="H317" t="s">
        <v>2015</v>
      </c>
      <c r="I317" t="s">
        <v>2020</v>
      </c>
      <c r="J317" t="s">
        <v>2023</v>
      </c>
      <c r="K317">
        <v>96</v>
      </c>
      <c r="L317" t="s">
        <v>2030</v>
      </c>
      <c r="M317" t="s">
        <v>2035</v>
      </c>
      <c r="N317" t="str">
        <f t="shared" si="8"/>
        <v>Pass</v>
      </c>
      <c r="O317" t="str">
        <f t="shared" si="9"/>
        <v>Adult</v>
      </c>
      <c r="P317" t="str" cm="1">
        <f t="array" ref="P317">_xlfn.IFS(K317&gt;90,"Excellent",K317&gt;80,"Very Good",K317&gt;70,"Good",K317&gt;=50,"Poor",K317&lt;50,"Fail")</f>
        <v>Excellent</v>
      </c>
    </row>
    <row r="318" spans="1:16" x14ac:dyDescent="0.25">
      <c r="A318" t="s">
        <v>327</v>
      </c>
      <c r="B318" t="s">
        <v>1326</v>
      </c>
      <c r="C318" t="s">
        <v>2258</v>
      </c>
      <c r="D318" t="s">
        <v>2117</v>
      </c>
      <c r="E318" t="s">
        <v>2007</v>
      </c>
      <c r="F318">
        <v>15</v>
      </c>
      <c r="G318" t="s">
        <v>2013</v>
      </c>
      <c r="H318" t="s">
        <v>2017</v>
      </c>
      <c r="I318" t="s">
        <v>2018</v>
      </c>
      <c r="J318" t="s">
        <v>2023</v>
      </c>
      <c r="K318">
        <v>17</v>
      </c>
      <c r="L318" t="s">
        <v>2025</v>
      </c>
      <c r="M318" t="s">
        <v>2036</v>
      </c>
      <c r="N318" t="str">
        <f t="shared" si="8"/>
        <v>Fail</v>
      </c>
      <c r="O318" t="str">
        <f t="shared" si="9"/>
        <v>UnderAge</v>
      </c>
      <c r="P318" t="str" cm="1">
        <f t="array" ref="P318">_xlfn.IFS(K318&gt;90,"Excellent",K318&gt;80,"Very Good",K318&gt;70,"Good",K318&gt;=50,"Poor",K318&lt;50,"Fail")</f>
        <v>Fail</v>
      </c>
    </row>
    <row r="319" spans="1:16" x14ac:dyDescent="0.25">
      <c r="A319" t="s">
        <v>328</v>
      </c>
      <c r="B319" t="s">
        <v>1327</v>
      </c>
      <c r="C319" t="s">
        <v>2103</v>
      </c>
      <c r="D319" t="s">
        <v>2551</v>
      </c>
      <c r="E319" t="s">
        <v>2007</v>
      </c>
      <c r="F319">
        <v>18</v>
      </c>
      <c r="G319" t="s">
        <v>2013</v>
      </c>
      <c r="H319" t="s">
        <v>2014</v>
      </c>
      <c r="I319" t="s">
        <v>2018</v>
      </c>
      <c r="J319" t="s">
        <v>2023</v>
      </c>
      <c r="K319">
        <v>22</v>
      </c>
      <c r="L319" t="s">
        <v>2027</v>
      </c>
      <c r="M319" t="s">
        <v>2036</v>
      </c>
      <c r="N319" t="str">
        <f t="shared" si="8"/>
        <v>Fail</v>
      </c>
      <c r="O319" t="str">
        <f t="shared" si="9"/>
        <v>Adult</v>
      </c>
      <c r="P319" t="str" cm="1">
        <f t="array" ref="P319">_xlfn.IFS(K319&gt;90,"Excellent",K319&gt;80,"Very Good",K319&gt;70,"Good",K319&gt;=50,"Poor",K319&lt;50,"Fail")</f>
        <v>Fail</v>
      </c>
    </row>
    <row r="320" spans="1:16" x14ac:dyDescent="0.25">
      <c r="A320" t="s">
        <v>329</v>
      </c>
      <c r="B320" t="s">
        <v>1328</v>
      </c>
      <c r="C320" t="s">
        <v>2259</v>
      </c>
      <c r="D320" t="s">
        <v>2426</v>
      </c>
      <c r="E320" t="s">
        <v>2008</v>
      </c>
      <c r="F320">
        <v>15</v>
      </c>
      <c r="G320" t="s">
        <v>2011</v>
      </c>
      <c r="H320" t="s">
        <v>2017</v>
      </c>
      <c r="I320" t="s">
        <v>2020</v>
      </c>
      <c r="J320" t="s">
        <v>2024</v>
      </c>
      <c r="K320">
        <v>84</v>
      </c>
      <c r="L320" t="s">
        <v>2028</v>
      </c>
      <c r="M320" t="s">
        <v>2035</v>
      </c>
      <c r="N320" t="str">
        <f t="shared" si="8"/>
        <v>Pass</v>
      </c>
      <c r="O320" t="str">
        <f t="shared" si="9"/>
        <v>UnderAge</v>
      </c>
      <c r="P320" t="str" cm="1">
        <f t="array" ref="P320">_xlfn.IFS(K320&gt;90,"Excellent",K320&gt;80,"Very Good",K320&gt;70,"Good",K320&gt;=50,"Poor",K320&lt;50,"Fail")</f>
        <v>Very Good</v>
      </c>
    </row>
    <row r="321" spans="1:16" x14ac:dyDescent="0.25">
      <c r="A321" t="s">
        <v>330</v>
      </c>
      <c r="B321" t="s">
        <v>1329</v>
      </c>
      <c r="C321" t="s">
        <v>2164</v>
      </c>
      <c r="D321" t="s">
        <v>2289</v>
      </c>
      <c r="E321" t="s">
        <v>2007</v>
      </c>
      <c r="F321">
        <v>14</v>
      </c>
      <c r="G321" t="s">
        <v>2013</v>
      </c>
      <c r="H321" t="s">
        <v>2016</v>
      </c>
      <c r="I321" t="s">
        <v>2020</v>
      </c>
      <c r="J321" t="s">
        <v>2023</v>
      </c>
      <c r="K321">
        <v>76</v>
      </c>
      <c r="L321" t="s">
        <v>2030</v>
      </c>
      <c r="M321" t="s">
        <v>2035</v>
      </c>
      <c r="N321" t="str">
        <f t="shared" si="8"/>
        <v>Pass</v>
      </c>
      <c r="O321" t="str">
        <f t="shared" si="9"/>
        <v>UnderAge</v>
      </c>
      <c r="P321" t="str" cm="1">
        <f t="array" ref="P321">_xlfn.IFS(K321&gt;90,"Excellent",K321&gt;80,"Very Good",K321&gt;70,"Good",K321&gt;=50,"Poor",K321&lt;50,"Fail")</f>
        <v>Good</v>
      </c>
    </row>
    <row r="322" spans="1:16" x14ac:dyDescent="0.25">
      <c r="A322" t="s">
        <v>331</v>
      </c>
      <c r="B322" t="s">
        <v>1330</v>
      </c>
      <c r="C322" t="s">
        <v>2139</v>
      </c>
      <c r="D322" t="s">
        <v>2607</v>
      </c>
      <c r="E322" t="s">
        <v>2007</v>
      </c>
      <c r="F322">
        <v>15</v>
      </c>
      <c r="G322" t="s">
        <v>2013</v>
      </c>
      <c r="H322" t="s">
        <v>2014</v>
      </c>
      <c r="I322" t="s">
        <v>2022</v>
      </c>
      <c r="J322" t="s">
        <v>2023</v>
      </c>
      <c r="K322">
        <v>50</v>
      </c>
      <c r="L322" t="s">
        <v>2029</v>
      </c>
      <c r="M322" t="s">
        <v>2035</v>
      </c>
      <c r="N322" t="str">
        <f t="shared" si="8"/>
        <v>Pass</v>
      </c>
      <c r="O322" t="str">
        <f t="shared" si="9"/>
        <v>UnderAge</v>
      </c>
      <c r="P322" t="str" cm="1">
        <f t="array" ref="P322">_xlfn.IFS(K322&gt;90,"Excellent",K322&gt;80,"Very Good",K322&gt;70,"Good",K322&gt;=50,"Poor",K322&lt;50,"Fail")</f>
        <v>Poor</v>
      </c>
    </row>
    <row r="323" spans="1:16" x14ac:dyDescent="0.25">
      <c r="A323" t="s">
        <v>332</v>
      </c>
      <c r="B323" t="s">
        <v>1331</v>
      </c>
      <c r="C323" t="s">
        <v>2127</v>
      </c>
      <c r="D323" t="s">
        <v>2601</v>
      </c>
      <c r="E323" t="s">
        <v>2007</v>
      </c>
      <c r="F323">
        <v>16</v>
      </c>
      <c r="G323" t="s">
        <v>2012</v>
      </c>
      <c r="H323" t="s">
        <v>2016</v>
      </c>
      <c r="I323" t="s">
        <v>2019</v>
      </c>
      <c r="J323" t="s">
        <v>2023</v>
      </c>
      <c r="K323">
        <v>95</v>
      </c>
      <c r="L323" t="s">
        <v>2029</v>
      </c>
      <c r="M323" t="s">
        <v>2035</v>
      </c>
      <c r="N323" t="str">
        <f t="shared" ref="N323:N386" si="10">IF(K323&gt;=50,"Pass","Fail")</f>
        <v>Pass</v>
      </c>
      <c r="O323" t="str">
        <f t="shared" ref="O323:O386" si="11">IF(F323&gt;=18,"Adult","UnderAge")</f>
        <v>UnderAge</v>
      </c>
      <c r="P323" t="str" cm="1">
        <f t="array" ref="P323">_xlfn.IFS(K323&gt;90,"Excellent",K323&gt;80,"Very Good",K323&gt;70,"Good",K323&gt;=50,"Poor",K323&lt;50,"Fail")</f>
        <v>Excellent</v>
      </c>
    </row>
    <row r="324" spans="1:16" x14ac:dyDescent="0.25">
      <c r="A324" t="s">
        <v>333</v>
      </c>
      <c r="B324" t="s">
        <v>1332</v>
      </c>
      <c r="C324" t="s">
        <v>2260</v>
      </c>
      <c r="D324" t="s">
        <v>2447</v>
      </c>
      <c r="E324" t="s">
        <v>2007</v>
      </c>
      <c r="F324">
        <v>17</v>
      </c>
      <c r="G324" t="s">
        <v>2012</v>
      </c>
      <c r="H324" t="s">
        <v>2015</v>
      </c>
      <c r="I324" t="s">
        <v>2021</v>
      </c>
      <c r="J324" t="s">
        <v>2023</v>
      </c>
      <c r="K324">
        <v>35</v>
      </c>
      <c r="L324" t="s">
        <v>2034</v>
      </c>
      <c r="M324" t="s">
        <v>2036</v>
      </c>
      <c r="N324" t="str">
        <f t="shared" si="10"/>
        <v>Fail</v>
      </c>
      <c r="O324" t="str">
        <f t="shared" si="11"/>
        <v>UnderAge</v>
      </c>
      <c r="P324" t="str" cm="1">
        <f t="array" ref="P324">_xlfn.IFS(K324&gt;90,"Excellent",K324&gt;80,"Very Good",K324&gt;70,"Good",K324&gt;=50,"Poor",K324&lt;50,"Fail")</f>
        <v>Fail</v>
      </c>
    </row>
    <row r="325" spans="1:16" x14ac:dyDescent="0.25">
      <c r="A325" t="s">
        <v>334</v>
      </c>
      <c r="B325" t="s">
        <v>1333</v>
      </c>
      <c r="C325" t="s">
        <v>2113</v>
      </c>
      <c r="D325" t="s">
        <v>2592</v>
      </c>
      <c r="E325" t="s">
        <v>2008</v>
      </c>
      <c r="F325">
        <v>14</v>
      </c>
      <c r="G325" t="s">
        <v>2009</v>
      </c>
      <c r="H325" t="s">
        <v>2014</v>
      </c>
      <c r="I325" t="s">
        <v>2020</v>
      </c>
      <c r="J325" t="s">
        <v>2023</v>
      </c>
      <c r="K325">
        <v>11</v>
      </c>
      <c r="L325" t="s">
        <v>2029</v>
      </c>
      <c r="M325" t="s">
        <v>2036</v>
      </c>
      <c r="N325" t="str">
        <f t="shared" si="10"/>
        <v>Fail</v>
      </c>
      <c r="O325" t="str">
        <f t="shared" si="11"/>
        <v>UnderAge</v>
      </c>
      <c r="P325" t="str" cm="1">
        <f t="array" ref="P325">_xlfn.IFS(K325&gt;90,"Excellent",K325&gt;80,"Very Good",K325&gt;70,"Good",K325&gt;=50,"Poor",K325&lt;50,"Fail")</f>
        <v>Fail</v>
      </c>
    </row>
    <row r="326" spans="1:16" x14ac:dyDescent="0.25">
      <c r="A326" t="s">
        <v>335</v>
      </c>
      <c r="B326" t="s">
        <v>1334</v>
      </c>
      <c r="C326" t="s">
        <v>2076</v>
      </c>
      <c r="D326" t="s">
        <v>2424</v>
      </c>
      <c r="E326" t="s">
        <v>2007</v>
      </c>
      <c r="F326">
        <v>14</v>
      </c>
      <c r="G326" t="s">
        <v>2009</v>
      </c>
      <c r="H326" t="s">
        <v>2017</v>
      </c>
      <c r="I326" t="s">
        <v>2022</v>
      </c>
      <c r="J326" t="s">
        <v>2024</v>
      </c>
      <c r="K326">
        <v>23</v>
      </c>
      <c r="L326" t="s">
        <v>2034</v>
      </c>
      <c r="M326" t="s">
        <v>2036</v>
      </c>
      <c r="N326" t="str">
        <f t="shared" si="10"/>
        <v>Fail</v>
      </c>
      <c r="O326" t="str">
        <f t="shared" si="11"/>
        <v>UnderAge</v>
      </c>
      <c r="P326" t="str" cm="1">
        <f t="array" ref="P326">_xlfn.IFS(K326&gt;90,"Excellent",K326&gt;80,"Very Good",K326&gt;70,"Good",K326&gt;=50,"Poor",K326&lt;50,"Fail")</f>
        <v>Fail</v>
      </c>
    </row>
    <row r="327" spans="1:16" x14ac:dyDescent="0.25">
      <c r="A327" t="s">
        <v>336</v>
      </c>
      <c r="B327" t="s">
        <v>1335</v>
      </c>
      <c r="C327" t="s">
        <v>2113</v>
      </c>
      <c r="D327" t="s">
        <v>2474</v>
      </c>
      <c r="E327" t="s">
        <v>2007</v>
      </c>
      <c r="F327">
        <v>18</v>
      </c>
      <c r="G327" t="s">
        <v>2013</v>
      </c>
      <c r="H327" t="s">
        <v>2017</v>
      </c>
      <c r="I327" t="s">
        <v>2021</v>
      </c>
      <c r="J327" t="s">
        <v>2023</v>
      </c>
      <c r="K327">
        <v>67</v>
      </c>
      <c r="L327" t="s">
        <v>2028</v>
      </c>
      <c r="M327" t="s">
        <v>2035</v>
      </c>
      <c r="N327" t="str">
        <f t="shared" si="10"/>
        <v>Pass</v>
      </c>
      <c r="O327" t="str">
        <f t="shared" si="11"/>
        <v>Adult</v>
      </c>
      <c r="P327" t="str" cm="1">
        <f t="array" ref="P327">_xlfn.IFS(K327&gt;90,"Excellent",K327&gt;80,"Very Good",K327&gt;70,"Good",K327&gt;=50,"Poor",K327&lt;50,"Fail")</f>
        <v>Poor</v>
      </c>
    </row>
    <row r="328" spans="1:16" x14ac:dyDescent="0.25">
      <c r="A328" t="s">
        <v>337</v>
      </c>
      <c r="B328" t="s">
        <v>1336</v>
      </c>
      <c r="C328" t="s">
        <v>2066</v>
      </c>
      <c r="D328" t="s">
        <v>2447</v>
      </c>
      <c r="E328" t="s">
        <v>2007</v>
      </c>
      <c r="F328">
        <v>14</v>
      </c>
      <c r="G328" t="s">
        <v>2012</v>
      </c>
      <c r="H328" t="s">
        <v>2016</v>
      </c>
      <c r="I328" t="s">
        <v>2019</v>
      </c>
      <c r="J328" t="s">
        <v>2023</v>
      </c>
      <c r="K328">
        <v>14</v>
      </c>
      <c r="L328" t="s">
        <v>2033</v>
      </c>
      <c r="M328" t="s">
        <v>2036</v>
      </c>
      <c r="N328" t="str">
        <f t="shared" si="10"/>
        <v>Fail</v>
      </c>
      <c r="O328" t="str">
        <f t="shared" si="11"/>
        <v>UnderAge</v>
      </c>
      <c r="P328" t="str" cm="1">
        <f t="array" ref="P328">_xlfn.IFS(K328&gt;90,"Excellent",K328&gt;80,"Very Good",K328&gt;70,"Good",K328&gt;=50,"Poor",K328&lt;50,"Fail")</f>
        <v>Fail</v>
      </c>
    </row>
    <row r="329" spans="1:16" x14ac:dyDescent="0.25">
      <c r="A329" t="s">
        <v>338</v>
      </c>
      <c r="B329" t="s">
        <v>1337</v>
      </c>
      <c r="C329" t="s">
        <v>2261</v>
      </c>
      <c r="D329" t="s">
        <v>2608</v>
      </c>
      <c r="E329" t="s">
        <v>2008</v>
      </c>
      <c r="F329">
        <v>17</v>
      </c>
      <c r="G329" t="s">
        <v>2009</v>
      </c>
      <c r="H329" t="s">
        <v>2016</v>
      </c>
      <c r="I329" t="s">
        <v>2020</v>
      </c>
      <c r="J329" t="s">
        <v>2024</v>
      </c>
      <c r="K329">
        <v>99</v>
      </c>
      <c r="L329" t="s">
        <v>2027</v>
      </c>
      <c r="M329" t="s">
        <v>2035</v>
      </c>
      <c r="N329" t="str">
        <f t="shared" si="10"/>
        <v>Pass</v>
      </c>
      <c r="O329" t="str">
        <f t="shared" si="11"/>
        <v>UnderAge</v>
      </c>
      <c r="P329" t="str" cm="1">
        <f t="array" ref="P329">_xlfn.IFS(K329&gt;90,"Excellent",K329&gt;80,"Very Good",K329&gt;70,"Good",K329&gt;=50,"Poor",K329&lt;50,"Fail")</f>
        <v>Excellent</v>
      </c>
    </row>
    <row r="330" spans="1:16" x14ac:dyDescent="0.25">
      <c r="A330" t="s">
        <v>339</v>
      </c>
      <c r="B330" t="s">
        <v>1338</v>
      </c>
      <c r="C330" t="s">
        <v>2153</v>
      </c>
      <c r="D330" t="s">
        <v>2117</v>
      </c>
      <c r="E330" t="s">
        <v>2008</v>
      </c>
      <c r="F330">
        <v>15</v>
      </c>
      <c r="G330" t="s">
        <v>2009</v>
      </c>
      <c r="H330" t="s">
        <v>2014</v>
      </c>
      <c r="I330" t="s">
        <v>2021</v>
      </c>
      <c r="J330" t="s">
        <v>2023</v>
      </c>
      <c r="K330">
        <v>8</v>
      </c>
      <c r="L330" t="s">
        <v>2028</v>
      </c>
      <c r="M330" t="s">
        <v>2036</v>
      </c>
      <c r="N330" t="str">
        <f t="shared" si="10"/>
        <v>Fail</v>
      </c>
      <c r="O330" t="str">
        <f t="shared" si="11"/>
        <v>UnderAge</v>
      </c>
      <c r="P330" t="str" cm="1">
        <f t="array" ref="P330">_xlfn.IFS(K330&gt;90,"Excellent",K330&gt;80,"Very Good",K330&gt;70,"Good",K330&gt;=50,"Poor",K330&lt;50,"Fail")</f>
        <v>Fail</v>
      </c>
    </row>
    <row r="331" spans="1:16" x14ac:dyDescent="0.25">
      <c r="A331" t="s">
        <v>340</v>
      </c>
      <c r="B331" t="s">
        <v>1339</v>
      </c>
      <c r="C331" t="s">
        <v>2192</v>
      </c>
      <c r="D331" t="s">
        <v>2609</v>
      </c>
      <c r="E331" t="s">
        <v>2007</v>
      </c>
      <c r="F331">
        <v>14</v>
      </c>
      <c r="G331" t="s">
        <v>2010</v>
      </c>
      <c r="H331" t="s">
        <v>2014</v>
      </c>
      <c r="I331" t="s">
        <v>2019</v>
      </c>
      <c r="J331" t="s">
        <v>2024</v>
      </c>
      <c r="K331">
        <v>93</v>
      </c>
      <c r="L331" t="s">
        <v>2034</v>
      </c>
      <c r="M331" t="s">
        <v>2035</v>
      </c>
      <c r="N331" t="str">
        <f t="shared" si="10"/>
        <v>Pass</v>
      </c>
      <c r="O331" t="str">
        <f t="shared" si="11"/>
        <v>UnderAge</v>
      </c>
      <c r="P331" t="str" cm="1">
        <f t="array" ref="P331">_xlfn.IFS(K331&gt;90,"Excellent",K331&gt;80,"Very Good",K331&gt;70,"Good",K331&gt;=50,"Poor",K331&lt;50,"Fail")</f>
        <v>Excellent</v>
      </c>
    </row>
    <row r="332" spans="1:16" x14ac:dyDescent="0.25">
      <c r="A332" t="s">
        <v>341</v>
      </c>
      <c r="B332" t="s">
        <v>1340</v>
      </c>
      <c r="C332" t="s">
        <v>2262</v>
      </c>
      <c r="D332" t="s">
        <v>2516</v>
      </c>
      <c r="E332" t="s">
        <v>2007</v>
      </c>
      <c r="F332">
        <v>14</v>
      </c>
      <c r="G332" t="s">
        <v>2010</v>
      </c>
      <c r="H332" t="s">
        <v>2016</v>
      </c>
      <c r="I332" t="s">
        <v>2021</v>
      </c>
      <c r="J332" t="s">
        <v>2024</v>
      </c>
      <c r="K332">
        <v>36</v>
      </c>
      <c r="L332" t="s">
        <v>2030</v>
      </c>
      <c r="M332" t="s">
        <v>2036</v>
      </c>
      <c r="N332" t="str">
        <f t="shared" si="10"/>
        <v>Fail</v>
      </c>
      <c r="O332" t="str">
        <f t="shared" si="11"/>
        <v>UnderAge</v>
      </c>
      <c r="P332" t="str" cm="1">
        <f t="array" ref="P332">_xlfn.IFS(K332&gt;90,"Excellent",K332&gt;80,"Very Good",K332&gt;70,"Good",K332&gt;=50,"Poor",K332&lt;50,"Fail")</f>
        <v>Fail</v>
      </c>
    </row>
    <row r="333" spans="1:16" x14ac:dyDescent="0.25">
      <c r="A333" t="s">
        <v>342</v>
      </c>
      <c r="B333" t="s">
        <v>1341</v>
      </c>
      <c r="C333" t="s">
        <v>2117</v>
      </c>
      <c r="D333" t="s">
        <v>2418</v>
      </c>
      <c r="E333" t="s">
        <v>2007</v>
      </c>
      <c r="F333">
        <v>14</v>
      </c>
      <c r="G333" t="s">
        <v>2011</v>
      </c>
      <c r="H333" t="s">
        <v>2016</v>
      </c>
      <c r="I333" t="s">
        <v>2021</v>
      </c>
      <c r="J333" t="s">
        <v>2024</v>
      </c>
      <c r="K333">
        <v>61</v>
      </c>
      <c r="L333" t="s">
        <v>2030</v>
      </c>
      <c r="M333" t="s">
        <v>2035</v>
      </c>
      <c r="N333" t="str">
        <f t="shared" si="10"/>
        <v>Pass</v>
      </c>
      <c r="O333" t="str">
        <f t="shared" si="11"/>
        <v>UnderAge</v>
      </c>
      <c r="P333" t="str" cm="1">
        <f t="array" ref="P333">_xlfn.IFS(K333&gt;90,"Excellent",K333&gt;80,"Very Good",K333&gt;70,"Good",K333&gt;=50,"Poor",K333&lt;50,"Fail")</f>
        <v>Poor</v>
      </c>
    </row>
    <row r="334" spans="1:16" x14ac:dyDescent="0.25">
      <c r="A334" t="s">
        <v>343</v>
      </c>
      <c r="B334" t="s">
        <v>1342</v>
      </c>
      <c r="C334" t="s">
        <v>2120</v>
      </c>
      <c r="D334" t="s">
        <v>2414</v>
      </c>
      <c r="E334" t="s">
        <v>2007</v>
      </c>
      <c r="F334">
        <v>15</v>
      </c>
      <c r="G334" t="s">
        <v>2011</v>
      </c>
      <c r="H334" t="s">
        <v>2014</v>
      </c>
      <c r="I334" t="s">
        <v>2018</v>
      </c>
      <c r="J334" t="s">
        <v>2023</v>
      </c>
      <c r="K334">
        <v>19</v>
      </c>
      <c r="L334" t="s">
        <v>2028</v>
      </c>
      <c r="M334" t="s">
        <v>2036</v>
      </c>
      <c r="N334" t="str">
        <f t="shared" si="10"/>
        <v>Fail</v>
      </c>
      <c r="O334" t="str">
        <f t="shared" si="11"/>
        <v>UnderAge</v>
      </c>
      <c r="P334" t="str" cm="1">
        <f t="array" ref="P334">_xlfn.IFS(K334&gt;90,"Excellent",K334&gt;80,"Very Good",K334&gt;70,"Good",K334&gt;=50,"Poor",K334&lt;50,"Fail")</f>
        <v>Fail</v>
      </c>
    </row>
    <row r="335" spans="1:16" x14ac:dyDescent="0.25">
      <c r="A335" t="s">
        <v>344</v>
      </c>
      <c r="B335" t="s">
        <v>1343</v>
      </c>
      <c r="C335" t="s">
        <v>2066</v>
      </c>
      <c r="D335" t="s">
        <v>2610</v>
      </c>
      <c r="E335" t="s">
        <v>2007</v>
      </c>
      <c r="F335">
        <v>16</v>
      </c>
      <c r="G335" t="s">
        <v>2010</v>
      </c>
      <c r="H335" t="s">
        <v>2015</v>
      </c>
      <c r="I335" t="s">
        <v>2021</v>
      </c>
      <c r="J335" t="s">
        <v>2024</v>
      </c>
      <c r="K335">
        <v>3</v>
      </c>
      <c r="L335" t="s">
        <v>2028</v>
      </c>
      <c r="M335" t="s">
        <v>2036</v>
      </c>
      <c r="N335" t="str">
        <f t="shared" si="10"/>
        <v>Fail</v>
      </c>
      <c r="O335" t="str">
        <f t="shared" si="11"/>
        <v>UnderAge</v>
      </c>
      <c r="P335" t="str" cm="1">
        <f t="array" ref="P335">_xlfn.IFS(K335&gt;90,"Excellent",K335&gt;80,"Very Good",K335&gt;70,"Good",K335&gt;=50,"Poor",K335&lt;50,"Fail")</f>
        <v>Fail</v>
      </c>
    </row>
    <row r="336" spans="1:16" x14ac:dyDescent="0.25">
      <c r="A336" t="s">
        <v>345</v>
      </c>
      <c r="B336" t="s">
        <v>1344</v>
      </c>
      <c r="C336" t="s">
        <v>2089</v>
      </c>
      <c r="D336" t="s">
        <v>2510</v>
      </c>
      <c r="E336" t="s">
        <v>2008</v>
      </c>
      <c r="F336">
        <v>15</v>
      </c>
      <c r="G336" t="s">
        <v>2012</v>
      </c>
      <c r="H336" t="s">
        <v>2015</v>
      </c>
      <c r="I336" t="s">
        <v>2018</v>
      </c>
      <c r="J336" t="s">
        <v>2023</v>
      </c>
      <c r="K336">
        <v>21</v>
      </c>
      <c r="L336" t="s">
        <v>2032</v>
      </c>
      <c r="M336" t="s">
        <v>2036</v>
      </c>
      <c r="N336" t="str">
        <f t="shared" si="10"/>
        <v>Fail</v>
      </c>
      <c r="O336" t="str">
        <f t="shared" si="11"/>
        <v>UnderAge</v>
      </c>
      <c r="P336" t="str" cm="1">
        <f t="array" ref="P336">_xlfn.IFS(K336&gt;90,"Excellent",K336&gt;80,"Very Good",K336&gt;70,"Good",K336&gt;=50,"Poor",K336&lt;50,"Fail")</f>
        <v>Fail</v>
      </c>
    </row>
    <row r="337" spans="1:16" x14ac:dyDescent="0.25">
      <c r="A337" t="s">
        <v>346</v>
      </c>
      <c r="B337" t="s">
        <v>1345</v>
      </c>
      <c r="C337" t="s">
        <v>2133</v>
      </c>
      <c r="D337" t="s">
        <v>2261</v>
      </c>
      <c r="E337" t="s">
        <v>2008</v>
      </c>
      <c r="F337">
        <v>16</v>
      </c>
      <c r="G337" t="s">
        <v>2009</v>
      </c>
      <c r="H337" t="s">
        <v>2014</v>
      </c>
      <c r="I337" t="s">
        <v>2020</v>
      </c>
      <c r="J337" t="s">
        <v>2023</v>
      </c>
      <c r="K337">
        <v>43</v>
      </c>
      <c r="L337" t="s">
        <v>2032</v>
      </c>
      <c r="M337" t="s">
        <v>2036</v>
      </c>
      <c r="N337" t="str">
        <f t="shared" si="10"/>
        <v>Fail</v>
      </c>
      <c r="O337" t="str">
        <f t="shared" si="11"/>
        <v>UnderAge</v>
      </c>
      <c r="P337" t="str" cm="1">
        <f t="array" ref="P337">_xlfn.IFS(K337&gt;90,"Excellent",K337&gt;80,"Very Good",K337&gt;70,"Good",K337&gt;=50,"Poor",K337&lt;50,"Fail")</f>
        <v>Fail</v>
      </c>
    </row>
    <row r="338" spans="1:16" x14ac:dyDescent="0.25">
      <c r="A338" t="s">
        <v>347</v>
      </c>
      <c r="B338" t="s">
        <v>1346</v>
      </c>
      <c r="C338" t="s">
        <v>2076</v>
      </c>
      <c r="D338" t="s">
        <v>2611</v>
      </c>
      <c r="E338" t="s">
        <v>2008</v>
      </c>
      <c r="F338">
        <v>17</v>
      </c>
      <c r="G338" t="s">
        <v>2012</v>
      </c>
      <c r="H338" t="s">
        <v>2015</v>
      </c>
      <c r="I338" t="s">
        <v>2020</v>
      </c>
      <c r="J338" t="s">
        <v>2024</v>
      </c>
      <c r="K338">
        <v>48</v>
      </c>
      <c r="L338" t="s">
        <v>2026</v>
      </c>
      <c r="M338" t="s">
        <v>2036</v>
      </c>
      <c r="N338" t="str">
        <f t="shared" si="10"/>
        <v>Fail</v>
      </c>
      <c r="O338" t="str">
        <f t="shared" si="11"/>
        <v>UnderAge</v>
      </c>
      <c r="P338" t="str" cm="1">
        <f t="array" ref="P338">_xlfn.IFS(K338&gt;90,"Excellent",K338&gt;80,"Very Good",K338&gt;70,"Good",K338&gt;=50,"Poor",K338&lt;50,"Fail")</f>
        <v>Fail</v>
      </c>
    </row>
    <row r="339" spans="1:16" x14ac:dyDescent="0.25">
      <c r="A339" t="s">
        <v>348</v>
      </c>
      <c r="B339" t="s">
        <v>1347</v>
      </c>
      <c r="C339" t="s">
        <v>2107</v>
      </c>
      <c r="D339" t="s">
        <v>2612</v>
      </c>
      <c r="E339" t="s">
        <v>2007</v>
      </c>
      <c r="F339">
        <v>16</v>
      </c>
      <c r="G339" t="s">
        <v>2010</v>
      </c>
      <c r="H339" t="s">
        <v>2017</v>
      </c>
      <c r="I339" t="s">
        <v>2018</v>
      </c>
      <c r="J339" t="s">
        <v>2024</v>
      </c>
      <c r="K339">
        <v>72</v>
      </c>
      <c r="L339" t="s">
        <v>2027</v>
      </c>
      <c r="M339" t="s">
        <v>2035</v>
      </c>
      <c r="N339" t="str">
        <f t="shared" si="10"/>
        <v>Pass</v>
      </c>
      <c r="O339" t="str">
        <f t="shared" si="11"/>
        <v>UnderAge</v>
      </c>
      <c r="P339" t="str" cm="1">
        <f t="array" ref="P339">_xlfn.IFS(K339&gt;90,"Excellent",K339&gt;80,"Very Good",K339&gt;70,"Good",K339&gt;=50,"Poor",K339&lt;50,"Fail")</f>
        <v>Good</v>
      </c>
    </row>
    <row r="340" spans="1:16" x14ac:dyDescent="0.25">
      <c r="A340" t="s">
        <v>349</v>
      </c>
      <c r="B340" t="s">
        <v>1348</v>
      </c>
      <c r="C340" t="s">
        <v>2263</v>
      </c>
      <c r="D340" t="s">
        <v>2613</v>
      </c>
      <c r="E340" t="s">
        <v>2008</v>
      </c>
      <c r="F340">
        <v>15</v>
      </c>
      <c r="G340" t="s">
        <v>2011</v>
      </c>
      <c r="H340" t="s">
        <v>2014</v>
      </c>
      <c r="I340" t="s">
        <v>2022</v>
      </c>
      <c r="J340" t="s">
        <v>2024</v>
      </c>
      <c r="K340">
        <v>0</v>
      </c>
      <c r="L340" t="s">
        <v>2032</v>
      </c>
      <c r="M340" t="s">
        <v>2036</v>
      </c>
      <c r="N340" t="str">
        <f t="shared" si="10"/>
        <v>Fail</v>
      </c>
      <c r="O340" t="str">
        <f t="shared" si="11"/>
        <v>UnderAge</v>
      </c>
      <c r="P340" t="str" cm="1">
        <f t="array" ref="P340">_xlfn.IFS(K340&gt;90,"Excellent",K340&gt;80,"Very Good",K340&gt;70,"Good",K340&gt;=50,"Poor",K340&lt;50,"Fail")</f>
        <v>Fail</v>
      </c>
    </row>
    <row r="341" spans="1:16" x14ac:dyDescent="0.25">
      <c r="A341" t="s">
        <v>350</v>
      </c>
      <c r="B341" t="s">
        <v>1349</v>
      </c>
      <c r="C341" t="s">
        <v>2203</v>
      </c>
      <c r="D341" t="s">
        <v>2493</v>
      </c>
      <c r="E341" t="s">
        <v>2007</v>
      </c>
      <c r="F341">
        <v>17</v>
      </c>
      <c r="G341" t="s">
        <v>2013</v>
      </c>
      <c r="H341" t="s">
        <v>2014</v>
      </c>
      <c r="I341" t="s">
        <v>2018</v>
      </c>
      <c r="J341" t="s">
        <v>2024</v>
      </c>
      <c r="K341">
        <v>73</v>
      </c>
      <c r="L341" t="s">
        <v>2033</v>
      </c>
      <c r="M341" t="s">
        <v>2035</v>
      </c>
      <c r="N341" t="str">
        <f t="shared" si="10"/>
        <v>Pass</v>
      </c>
      <c r="O341" t="str">
        <f t="shared" si="11"/>
        <v>UnderAge</v>
      </c>
      <c r="P341" t="str" cm="1">
        <f t="array" ref="P341">_xlfn.IFS(K341&gt;90,"Excellent",K341&gt;80,"Very Good",K341&gt;70,"Good",K341&gt;=50,"Poor",K341&lt;50,"Fail")</f>
        <v>Good</v>
      </c>
    </row>
    <row r="342" spans="1:16" x14ac:dyDescent="0.25">
      <c r="A342" t="s">
        <v>351</v>
      </c>
      <c r="B342" t="s">
        <v>1350</v>
      </c>
      <c r="C342" t="s">
        <v>2264</v>
      </c>
      <c r="D342" t="s">
        <v>2614</v>
      </c>
      <c r="E342" t="s">
        <v>2007</v>
      </c>
      <c r="F342">
        <v>18</v>
      </c>
      <c r="G342" t="s">
        <v>2010</v>
      </c>
      <c r="H342" t="s">
        <v>2017</v>
      </c>
      <c r="I342" t="s">
        <v>2021</v>
      </c>
      <c r="J342" t="s">
        <v>2024</v>
      </c>
      <c r="K342">
        <v>94</v>
      </c>
      <c r="L342" t="s">
        <v>2028</v>
      </c>
      <c r="M342" t="s">
        <v>2035</v>
      </c>
      <c r="N342" t="str">
        <f t="shared" si="10"/>
        <v>Pass</v>
      </c>
      <c r="O342" t="str">
        <f t="shared" si="11"/>
        <v>Adult</v>
      </c>
      <c r="P342" t="str" cm="1">
        <f t="array" ref="P342">_xlfn.IFS(K342&gt;90,"Excellent",K342&gt;80,"Very Good",K342&gt;70,"Good",K342&gt;=50,"Poor",K342&lt;50,"Fail")</f>
        <v>Excellent</v>
      </c>
    </row>
    <row r="343" spans="1:16" x14ac:dyDescent="0.25">
      <c r="A343" t="s">
        <v>352</v>
      </c>
      <c r="B343" t="s">
        <v>1351</v>
      </c>
      <c r="C343" t="s">
        <v>2065</v>
      </c>
      <c r="D343" t="s">
        <v>2615</v>
      </c>
      <c r="E343" t="s">
        <v>2008</v>
      </c>
      <c r="F343">
        <v>16</v>
      </c>
      <c r="G343" t="s">
        <v>2012</v>
      </c>
      <c r="H343" t="s">
        <v>2014</v>
      </c>
      <c r="I343" t="s">
        <v>2019</v>
      </c>
      <c r="J343" t="s">
        <v>2023</v>
      </c>
      <c r="K343">
        <v>29</v>
      </c>
      <c r="L343" t="s">
        <v>2032</v>
      </c>
      <c r="M343" t="s">
        <v>2036</v>
      </c>
      <c r="N343" t="str">
        <f t="shared" si="10"/>
        <v>Fail</v>
      </c>
      <c r="O343" t="str">
        <f t="shared" si="11"/>
        <v>UnderAge</v>
      </c>
      <c r="P343" t="str" cm="1">
        <f t="array" ref="P343">_xlfn.IFS(K343&gt;90,"Excellent",K343&gt;80,"Very Good",K343&gt;70,"Good",K343&gt;=50,"Poor",K343&lt;50,"Fail")</f>
        <v>Fail</v>
      </c>
    </row>
    <row r="344" spans="1:16" x14ac:dyDescent="0.25">
      <c r="A344" t="s">
        <v>353</v>
      </c>
      <c r="B344" t="s">
        <v>1352</v>
      </c>
      <c r="C344" t="s">
        <v>2148</v>
      </c>
      <c r="D344" t="s">
        <v>2616</v>
      </c>
      <c r="E344" t="s">
        <v>2007</v>
      </c>
      <c r="F344">
        <v>17</v>
      </c>
      <c r="G344" t="s">
        <v>2012</v>
      </c>
      <c r="H344" t="s">
        <v>2017</v>
      </c>
      <c r="I344" t="s">
        <v>2021</v>
      </c>
      <c r="J344" t="s">
        <v>2024</v>
      </c>
      <c r="K344">
        <v>30</v>
      </c>
      <c r="L344" t="s">
        <v>2032</v>
      </c>
      <c r="M344" t="s">
        <v>2036</v>
      </c>
      <c r="N344" t="str">
        <f t="shared" si="10"/>
        <v>Fail</v>
      </c>
      <c r="O344" t="str">
        <f t="shared" si="11"/>
        <v>UnderAge</v>
      </c>
      <c r="P344" t="str" cm="1">
        <f t="array" ref="P344">_xlfn.IFS(K344&gt;90,"Excellent",K344&gt;80,"Very Good",K344&gt;70,"Good",K344&gt;=50,"Poor",K344&lt;50,"Fail")</f>
        <v>Fail</v>
      </c>
    </row>
    <row r="345" spans="1:16" x14ac:dyDescent="0.25">
      <c r="A345" t="s">
        <v>354</v>
      </c>
      <c r="B345" t="s">
        <v>1353</v>
      </c>
      <c r="C345" t="s">
        <v>2068</v>
      </c>
      <c r="D345" t="s">
        <v>2055</v>
      </c>
      <c r="E345" t="s">
        <v>2008</v>
      </c>
      <c r="F345">
        <v>16</v>
      </c>
      <c r="G345" t="s">
        <v>2013</v>
      </c>
      <c r="H345" t="s">
        <v>2017</v>
      </c>
      <c r="I345" t="s">
        <v>2020</v>
      </c>
      <c r="J345" t="s">
        <v>2024</v>
      </c>
      <c r="K345">
        <v>90</v>
      </c>
      <c r="L345" t="s">
        <v>2032</v>
      </c>
      <c r="M345" t="s">
        <v>2035</v>
      </c>
      <c r="N345" t="str">
        <f t="shared" si="10"/>
        <v>Pass</v>
      </c>
      <c r="O345" t="str">
        <f t="shared" si="11"/>
        <v>UnderAge</v>
      </c>
      <c r="P345" t="str" cm="1">
        <f t="array" ref="P345">_xlfn.IFS(K345&gt;90,"Excellent",K345&gt;80,"Very Good",K345&gt;70,"Good",K345&gt;=50,"Poor",K345&lt;50,"Fail")</f>
        <v>Very Good</v>
      </c>
    </row>
    <row r="346" spans="1:16" x14ac:dyDescent="0.25">
      <c r="A346" t="s">
        <v>355</v>
      </c>
      <c r="B346" t="s">
        <v>1354</v>
      </c>
      <c r="C346" t="s">
        <v>2103</v>
      </c>
      <c r="D346" t="s">
        <v>2617</v>
      </c>
      <c r="E346" t="s">
        <v>2007</v>
      </c>
      <c r="F346">
        <v>18</v>
      </c>
      <c r="G346" t="s">
        <v>2012</v>
      </c>
      <c r="H346" t="s">
        <v>2014</v>
      </c>
      <c r="I346" t="s">
        <v>2021</v>
      </c>
      <c r="J346" t="s">
        <v>2024</v>
      </c>
      <c r="K346">
        <v>27</v>
      </c>
      <c r="L346" t="s">
        <v>2026</v>
      </c>
      <c r="M346" t="s">
        <v>2036</v>
      </c>
      <c r="N346" t="str">
        <f t="shared" si="10"/>
        <v>Fail</v>
      </c>
      <c r="O346" t="str">
        <f t="shared" si="11"/>
        <v>Adult</v>
      </c>
      <c r="P346" t="str" cm="1">
        <f t="array" ref="P346">_xlfn.IFS(K346&gt;90,"Excellent",K346&gt;80,"Very Good",K346&gt;70,"Good",K346&gt;=50,"Poor",K346&lt;50,"Fail")</f>
        <v>Fail</v>
      </c>
    </row>
    <row r="347" spans="1:16" x14ac:dyDescent="0.25">
      <c r="A347" t="s">
        <v>356</v>
      </c>
      <c r="B347" t="s">
        <v>1355</v>
      </c>
      <c r="C347" t="s">
        <v>2076</v>
      </c>
      <c r="D347" t="s">
        <v>2470</v>
      </c>
      <c r="E347" t="s">
        <v>2008</v>
      </c>
      <c r="F347">
        <v>17</v>
      </c>
      <c r="G347" t="s">
        <v>2011</v>
      </c>
      <c r="H347" t="s">
        <v>2017</v>
      </c>
      <c r="I347" t="s">
        <v>2019</v>
      </c>
      <c r="J347" t="s">
        <v>2023</v>
      </c>
      <c r="K347">
        <v>84</v>
      </c>
      <c r="L347" t="s">
        <v>2025</v>
      </c>
      <c r="M347" t="s">
        <v>2035</v>
      </c>
      <c r="N347" t="str">
        <f t="shared" si="10"/>
        <v>Pass</v>
      </c>
      <c r="O347" t="str">
        <f t="shared" si="11"/>
        <v>UnderAge</v>
      </c>
      <c r="P347" t="str" cm="1">
        <f t="array" ref="P347">_xlfn.IFS(K347&gt;90,"Excellent",K347&gt;80,"Very Good",K347&gt;70,"Good",K347&gt;=50,"Poor",K347&lt;50,"Fail")</f>
        <v>Very Good</v>
      </c>
    </row>
    <row r="348" spans="1:16" x14ac:dyDescent="0.25">
      <c r="A348" t="s">
        <v>357</v>
      </c>
      <c r="B348" t="s">
        <v>1356</v>
      </c>
      <c r="C348" t="s">
        <v>2265</v>
      </c>
      <c r="D348" t="s">
        <v>2618</v>
      </c>
      <c r="E348" t="s">
        <v>2007</v>
      </c>
      <c r="F348">
        <v>16</v>
      </c>
      <c r="G348" t="s">
        <v>2010</v>
      </c>
      <c r="H348" t="s">
        <v>2014</v>
      </c>
      <c r="I348" t="s">
        <v>2020</v>
      </c>
      <c r="J348" t="s">
        <v>2023</v>
      </c>
      <c r="K348">
        <v>0</v>
      </c>
      <c r="L348" t="s">
        <v>2026</v>
      </c>
      <c r="M348" t="s">
        <v>2036</v>
      </c>
      <c r="N348" t="str">
        <f t="shared" si="10"/>
        <v>Fail</v>
      </c>
      <c r="O348" t="str">
        <f t="shared" si="11"/>
        <v>UnderAge</v>
      </c>
      <c r="P348" t="str" cm="1">
        <f t="array" ref="P348">_xlfn.IFS(K348&gt;90,"Excellent",K348&gt;80,"Very Good",K348&gt;70,"Good",K348&gt;=50,"Poor",K348&lt;50,"Fail")</f>
        <v>Fail</v>
      </c>
    </row>
    <row r="349" spans="1:16" x14ac:dyDescent="0.25">
      <c r="A349" t="s">
        <v>358</v>
      </c>
      <c r="B349" t="s">
        <v>1357</v>
      </c>
      <c r="C349" t="s">
        <v>2134</v>
      </c>
      <c r="D349" t="s">
        <v>2415</v>
      </c>
      <c r="E349" t="s">
        <v>2008</v>
      </c>
      <c r="F349">
        <v>18</v>
      </c>
      <c r="G349" t="s">
        <v>2011</v>
      </c>
      <c r="H349" t="s">
        <v>2014</v>
      </c>
      <c r="I349" t="s">
        <v>2022</v>
      </c>
      <c r="J349" t="s">
        <v>2023</v>
      </c>
      <c r="K349">
        <v>55</v>
      </c>
      <c r="L349" t="s">
        <v>2028</v>
      </c>
      <c r="M349" t="s">
        <v>2035</v>
      </c>
      <c r="N349" t="str">
        <f t="shared" si="10"/>
        <v>Pass</v>
      </c>
      <c r="O349" t="str">
        <f t="shared" si="11"/>
        <v>Adult</v>
      </c>
      <c r="P349" t="str" cm="1">
        <f t="array" ref="P349">_xlfn.IFS(K349&gt;90,"Excellent",K349&gt;80,"Very Good",K349&gt;70,"Good",K349&gt;=50,"Poor",K349&lt;50,"Fail")</f>
        <v>Poor</v>
      </c>
    </row>
    <row r="350" spans="1:16" x14ac:dyDescent="0.25">
      <c r="A350" t="s">
        <v>359</v>
      </c>
      <c r="B350" t="s">
        <v>1358</v>
      </c>
      <c r="C350" t="s">
        <v>2103</v>
      </c>
      <c r="D350" t="s">
        <v>2589</v>
      </c>
      <c r="E350" t="s">
        <v>2008</v>
      </c>
      <c r="F350">
        <v>14</v>
      </c>
      <c r="G350" t="s">
        <v>2010</v>
      </c>
      <c r="H350" t="s">
        <v>2014</v>
      </c>
      <c r="I350" t="s">
        <v>2018</v>
      </c>
      <c r="J350" t="s">
        <v>2024</v>
      </c>
      <c r="K350">
        <v>62</v>
      </c>
      <c r="L350" t="s">
        <v>2030</v>
      </c>
      <c r="M350" t="s">
        <v>2035</v>
      </c>
      <c r="N350" t="str">
        <f t="shared" si="10"/>
        <v>Pass</v>
      </c>
      <c r="O350" t="str">
        <f t="shared" si="11"/>
        <v>UnderAge</v>
      </c>
      <c r="P350" t="str" cm="1">
        <f t="array" ref="P350">_xlfn.IFS(K350&gt;90,"Excellent",K350&gt;80,"Very Good",K350&gt;70,"Good",K350&gt;=50,"Poor",K350&lt;50,"Fail")</f>
        <v>Poor</v>
      </c>
    </row>
    <row r="351" spans="1:16" x14ac:dyDescent="0.25">
      <c r="A351" t="s">
        <v>360</v>
      </c>
      <c r="B351" t="s">
        <v>1359</v>
      </c>
      <c r="C351" t="s">
        <v>2266</v>
      </c>
      <c r="D351" t="s">
        <v>2619</v>
      </c>
      <c r="E351" t="s">
        <v>2008</v>
      </c>
      <c r="F351">
        <v>17</v>
      </c>
      <c r="G351" t="s">
        <v>2009</v>
      </c>
      <c r="H351" t="s">
        <v>2017</v>
      </c>
      <c r="I351" t="s">
        <v>2022</v>
      </c>
      <c r="J351" t="s">
        <v>2024</v>
      </c>
      <c r="K351">
        <v>34</v>
      </c>
      <c r="L351" t="s">
        <v>2034</v>
      </c>
      <c r="M351" t="s">
        <v>2036</v>
      </c>
      <c r="N351" t="str">
        <f t="shared" si="10"/>
        <v>Fail</v>
      </c>
      <c r="O351" t="str">
        <f t="shared" si="11"/>
        <v>UnderAge</v>
      </c>
      <c r="P351" t="str" cm="1">
        <f t="array" ref="P351">_xlfn.IFS(K351&gt;90,"Excellent",K351&gt;80,"Very Good",K351&gt;70,"Good",K351&gt;=50,"Poor",K351&lt;50,"Fail")</f>
        <v>Fail</v>
      </c>
    </row>
    <row r="352" spans="1:16" x14ac:dyDescent="0.25">
      <c r="A352" t="s">
        <v>361</v>
      </c>
      <c r="B352" t="s">
        <v>1360</v>
      </c>
      <c r="C352" t="s">
        <v>2068</v>
      </c>
      <c r="D352" t="s">
        <v>2219</v>
      </c>
      <c r="E352" t="s">
        <v>2007</v>
      </c>
      <c r="F352">
        <v>18</v>
      </c>
      <c r="G352" t="s">
        <v>2011</v>
      </c>
      <c r="H352" t="s">
        <v>2016</v>
      </c>
      <c r="I352" t="s">
        <v>2018</v>
      </c>
      <c r="J352" t="s">
        <v>2023</v>
      </c>
      <c r="K352">
        <v>84</v>
      </c>
      <c r="L352" t="s">
        <v>2029</v>
      </c>
      <c r="M352" t="s">
        <v>2035</v>
      </c>
      <c r="N352" t="str">
        <f t="shared" si="10"/>
        <v>Pass</v>
      </c>
      <c r="O352" t="str">
        <f t="shared" si="11"/>
        <v>Adult</v>
      </c>
      <c r="P352" t="str" cm="1">
        <f t="array" ref="P352">_xlfn.IFS(K352&gt;90,"Excellent",K352&gt;80,"Very Good",K352&gt;70,"Good",K352&gt;=50,"Poor",K352&lt;50,"Fail")</f>
        <v>Very Good</v>
      </c>
    </row>
    <row r="353" spans="1:16" x14ac:dyDescent="0.25">
      <c r="A353" t="s">
        <v>362</v>
      </c>
      <c r="B353" t="s">
        <v>1361</v>
      </c>
      <c r="C353" t="s">
        <v>2109</v>
      </c>
      <c r="D353" t="s">
        <v>2168</v>
      </c>
      <c r="E353" t="s">
        <v>2007</v>
      </c>
      <c r="F353">
        <v>18</v>
      </c>
      <c r="G353" t="s">
        <v>2010</v>
      </c>
      <c r="H353" t="s">
        <v>2017</v>
      </c>
      <c r="I353" t="s">
        <v>2022</v>
      </c>
      <c r="J353" t="s">
        <v>2024</v>
      </c>
      <c r="K353">
        <v>22</v>
      </c>
      <c r="L353" t="s">
        <v>2033</v>
      </c>
      <c r="M353" t="s">
        <v>2036</v>
      </c>
      <c r="N353" t="str">
        <f t="shared" si="10"/>
        <v>Fail</v>
      </c>
      <c r="O353" t="str">
        <f t="shared" si="11"/>
        <v>Adult</v>
      </c>
      <c r="P353" t="str" cm="1">
        <f t="array" ref="P353">_xlfn.IFS(K353&gt;90,"Excellent",K353&gt;80,"Very Good",K353&gt;70,"Good",K353&gt;=50,"Poor",K353&lt;50,"Fail")</f>
        <v>Fail</v>
      </c>
    </row>
    <row r="354" spans="1:16" x14ac:dyDescent="0.25">
      <c r="A354" t="s">
        <v>363</v>
      </c>
      <c r="B354" t="s">
        <v>1362</v>
      </c>
      <c r="C354" t="s">
        <v>2097</v>
      </c>
      <c r="D354" t="s">
        <v>2620</v>
      </c>
      <c r="E354" t="s">
        <v>2008</v>
      </c>
      <c r="F354">
        <v>14</v>
      </c>
      <c r="G354" t="s">
        <v>2010</v>
      </c>
      <c r="H354" t="s">
        <v>2014</v>
      </c>
      <c r="I354" t="s">
        <v>2020</v>
      </c>
      <c r="J354" t="s">
        <v>2023</v>
      </c>
      <c r="K354">
        <v>92</v>
      </c>
      <c r="L354" t="s">
        <v>2033</v>
      </c>
      <c r="M354" t="s">
        <v>2035</v>
      </c>
      <c r="N354" t="str">
        <f t="shared" si="10"/>
        <v>Pass</v>
      </c>
      <c r="O354" t="str">
        <f t="shared" si="11"/>
        <v>UnderAge</v>
      </c>
      <c r="P354" t="str" cm="1">
        <f t="array" ref="P354">_xlfn.IFS(K354&gt;90,"Excellent",K354&gt;80,"Very Good",K354&gt;70,"Good",K354&gt;=50,"Poor",K354&lt;50,"Fail")</f>
        <v>Excellent</v>
      </c>
    </row>
    <row r="355" spans="1:16" x14ac:dyDescent="0.25">
      <c r="A355" t="s">
        <v>364</v>
      </c>
      <c r="B355" t="s">
        <v>1363</v>
      </c>
      <c r="C355" t="s">
        <v>2150</v>
      </c>
      <c r="D355" t="s">
        <v>2621</v>
      </c>
      <c r="E355" t="s">
        <v>2007</v>
      </c>
      <c r="F355">
        <v>14</v>
      </c>
      <c r="G355" t="s">
        <v>2009</v>
      </c>
      <c r="H355" t="s">
        <v>2017</v>
      </c>
      <c r="I355" t="s">
        <v>2022</v>
      </c>
      <c r="J355" t="s">
        <v>2024</v>
      </c>
      <c r="K355">
        <v>25</v>
      </c>
      <c r="L355" t="s">
        <v>2027</v>
      </c>
      <c r="M355" t="s">
        <v>2036</v>
      </c>
      <c r="N355" t="str">
        <f t="shared" si="10"/>
        <v>Fail</v>
      </c>
      <c r="O355" t="str">
        <f t="shared" si="11"/>
        <v>UnderAge</v>
      </c>
      <c r="P355" t="str" cm="1">
        <f t="array" ref="P355">_xlfn.IFS(K355&gt;90,"Excellent",K355&gt;80,"Very Good",K355&gt;70,"Good",K355&gt;=50,"Poor",K355&lt;50,"Fail")</f>
        <v>Fail</v>
      </c>
    </row>
    <row r="356" spans="1:16" x14ac:dyDescent="0.25">
      <c r="A356" t="s">
        <v>365</v>
      </c>
      <c r="B356" t="s">
        <v>1364</v>
      </c>
      <c r="C356" t="s">
        <v>2267</v>
      </c>
      <c r="D356" t="s">
        <v>2622</v>
      </c>
      <c r="E356" t="s">
        <v>2007</v>
      </c>
      <c r="F356">
        <v>15</v>
      </c>
      <c r="G356" t="s">
        <v>2010</v>
      </c>
      <c r="H356" t="s">
        <v>2016</v>
      </c>
      <c r="I356" t="s">
        <v>2021</v>
      </c>
      <c r="J356" t="s">
        <v>2024</v>
      </c>
      <c r="K356">
        <v>88</v>
      </c>
      <c r="L356" t="s">
        <v>2028</v>
      </c>
      <c r="M356" t="s">
        <v>2035</v>
      </c>
      <c r="N356" t="str">
        <f t="shared" si="10"/>
        <v>Pass</v>
      </c>
      <c r="O356" t="str">
        <f t="shared" si="11"/>
        <v>UnderAge</v>
      </c>
      <c r="P356" t="str" cm="1">
        <f t="array" ref="P356">_xlfn.IFS(K356&gt;90,"Excellent",K356&gt;80,"Very Good",K356&gt;70,"Good",K356&gt;=50,"Poor",K356&lt;50,"Fail")</f>
        <v>Very Good</v>
      </c>
    </row>
    <row r="357" spans="1:16" x14ac:dyDescent="0.25">
      <c r="A357" t="s">
        <v>366</v>
      </c>
      <c r="B357" t="s">
        <v>1365</v>
      </c>
      <c r="C357" t="s">
        <v>2117</v>
      </c>
      <c r="D357" t="s">
        <v>2623</v>
      </c>
      <c r="E357" t="s">
        <v>2007</v>
      </c>
      <c r="F357">
        <v>17</v>
      </c>
      <c r="G357" t="s">
        <v>2013</v>
      </c>
      <c r="H357" t="s">
        <v>2015</v>
      </c>
      <c r="I357" t="s">
        <v>2018</v>
      </c>
      <c r="J357" t="s">
        <v>2023</v>
      </c>
      <c r="K357">
        <v>33</v>
      </c>
      <c r="L357" t="s">
        <v>2028</v>
      </c>
      <c r="M357" t="s">
        <v>2036</v>
      </c>
      <c r="N357" t="str">
        <f t="shared" si="10"/>
        <v>Fail</v>
      </c>
      <c r="O357" t="str">
        <f t="shared" si="11"/>
        <v>UnderAge</v>
      </c>
      <c r="P357" t="str" cm="1">
        <f t="array" ref="P357">_xlfn.IFS(K357&gt;90,"Excellent",K357&gt;80,"Very Good",K357&gt;70,"Good",K357&gt;=50,"Poor",K357&lt;50,"Fail")</f>
        <v>Fail</v>
      </c>
    </row>
    <row r="358" spans="1:16" x14ac:dyDescent="0.25">
      <c r="A358" t="s">
        <v>367</v>
      </c>
      <c r="B358" t="s">
        <v>1366</v>
      </c>
      <c r="C358" t="s">
        <v>2268</v>
      </c>
      <c r="D358" t="s">
        <v>2417</v>
      </c>
      <c r="E358" t="s">
        <v>2007</v>
      </c>
      <c r="F358">
        <v>15</v>
      </c>
      <c r="G358" t="s">
        <v>2012</v>
      </c>
      <c r="H358" t="s">
        <v>2015</v>
      </c>
      <c r="I358" t="s">
        <v>2020</v>
      </c>
      <c r="J358" t="s">
        <v>2023</v>
      </c>
      <c r="K358">
        <v>82</v>
      </c>
      <c r="L358" t="s">
        <v>2034</v>
      </c>
      <c r="M358" t="s">
        <v>2035</v>
      </c>
      <c r="N358" t="str">
        <f t="shared" si="10"/>
        <v>Pass</v>
      </c>
      <c r="O358" t="str">
        <f t="shared" si="11"/>
        <v>UnderAge</v>
      </c>
      <c r="P358" t="str" cm="1">
        <f t="array" ref="P358">_xlfn.IFS(K358&gt;90,"Excellent",K358&gt;80,"Very Good",K358&gt;70,"Good",K358&gt;=50,"Poor",K358&lt;50,"Fail")</f>
        <v>Very Good</v>
      </c>
    </row>
    <row r="359" spans="1:16" x14ac:dyDescent="0.25">
      <c r="A359" t="s">
        <v>368</v>
      </c>
      <c r="B359" t="s">
        <v>1367</v>
      </c>
      <c r="C359" t="s">
        <v>2131</v>
      </c>
      <c r="D359" t="s">
        <v>2624</v>
      </c>
      <c r="E359" t="s">
        <v>2007</v>
      </c>
      <c r="F359">
        <v>18</v>
      </c>
      <c r="G359" t="s">
        <v>2009</v>
      </c>
      <c r="H359" t="s">
        <v>2017</v>
      </c>
      <c r="I359" t="s">
        <v>2021</v>
      </c>
      <c r="J359" t="s">
        <v>2023</v>
      </c>
      <c r="K359">
        <v>37</v>
      </c>
      <c r="L359" t="s">
        <v>2027</v>
      </c>
      <c r="M359" t="s">
        <v>2036</v>
      </c>
      <c r="N359" t="str">
        <f t="shared" si="10"/>
        <v>Fail</v>
      </c>
      <c r="O359" t="str">
        <f t="shared" si="11"/>
        <v>Adult</v>
      </c>
      <c r="P359" t="str" cm="1">
        <f t="array" ref="P359">_xlfn.IFS(K359&gt;90,"Excellent",K359&gt;80,"Very Good",K359&gt;70,"Good",K359&gt;=50,"Poor",K359&lt;50,"Fail")</f>
        <v>Fail</v>
      </c>
    </row>
    <row r="360" spans="1:16" x14ac:dyDescent="0.25">
      <c r="A360" t="s">
        <v>369</v>
      </c>
      <c r="B360" t="s">
        <v>1368</v>
      </c>
      <c r="C360" t="s">
        <v>2269</v>
      </c>
      <c r="D360" t="s">
        <v>2625</v>
      </c>
      <c r="E360" t="s">
        <v>2007</v>
      </c>
      <c r="F360">
        <v>16</v>
      </c>
      <c r="G360" t="s">
        <v>2009</v>
      </c>
      <c r="H360" t="s">
        <v>2016</v>
      </c>
      <c r="I360" t="s">
        <v>2021</v>
      </c>
      <c r="J360" t="s">
        <v>2023</v>
      </c>
      <c r="K360">
        <v>65</v>
      </c>
      <c r="L360" t="s">
        <v>2031</v>
      </c>
      <c r="M360" t="s">
        <v>2035</v>
      </c>
      <c r="N360" t="str">
        <f t="shared" si="10"/>
        <v>Pass</v>
      </c>
      <c r="O360" t="str">
        <f t="shared" si="11"/>
        <v>UnderAge</v>
      </c>
      <c r="P360" t="str" cm="1">
        <f t="array" ref="P360">_xlfn.IFS(K360&gt;90,"Excellent",K360&gt;80,"Very Good",K360&gt;70,"Good",K360&gt;=50,"Poor",K360&lt;50,"Fail")</f>
        <v>Poor</v>
      </c>
    </row>
    <row r="361" spans="1:16" x14ac:dyDescent="0.25">
      <c r="A361" t="s">
        <v>370</v>
      </c>
      <c r="B361" t="s">
        <v>1369</v>
      </c>
      <c r="C361" t="s">
        <v>2202</v>
      </c>
      <c r="D361" t="s">
        <v>2619</v>
      </c>
      <c r="E361" t="s">
        <v>2007</v>
      </c>
      <c r="F361">
        <v>18</v>
      </c>
      <c r="G361" t="s">
        <v>2011</v>
      </c>
      <c r="H361" t="s">
        <v>2014</v>
      </c>
      <c r="I361" t="s">
        <v>2020</v>
      </c>
      <c r="J361" t="s">
        <v>2024</v>
      </c>
      <c r="K361">
        <v>75</v>
      </c>
      <c r="L361" t="s">
        <v>2030</v>
      </c>
      <c r="M361" t="s">
        <v>2035</v>
      </c>
      <c r="N361" t="str">
        <f t="shared" si="10"/>
        <v>Pass</v>
      </c>
      <c r="O361" t="str">
        <f t="shared" si="11"/>
        <v>Adult</v>
      </c>
      <c r="P361" t="str" cm="1">
        <f t="array" ref="P361">_xlfn.IFS(K361&gt;90,"Excellent",K361&gt;80,"Very Good",K361&gt;70,"Good",K361&gt;=50,"Poor",K361&lt;50,"Fail")</f>
        <v>Good</v>
      </c>
    </row>
    <row r="362" spans="1:16" x14ac:dyDescent="0.25">
      <c r="A362" t="s">
        <v>371</v>
      </c>
      <c r="B362" t="s">
        <v>1370</v>
      </c>
      <c r="C362" t="s">
        <v>2162</v>
      </c>
      <c r="D362" t="s">
        <v>2626</v>
      </c>
      <c r="E362" t="s">
        <v>2007</v>
      </c>
      <c r="F362">
        <v>17</v>
      </c>
      <c r="G362" t="s">
        <v>2010</v>
      </c>
      <c r="H362" t="s">
        <v>2015</v>
      </c>
      <c r="I362" t="s">
        <v>2018</v>
      </c>
      <c r="J362" t="s">
        <v>2023</v>
      </c>
      <c r="K362">
        <v>66</v>
      </c>
      <c r="L362" t="s">
        <v>2030</v>
      </c>
      <c r="M362" t="s">
        <v>2035</v>
      </c>
      <c r="N362" t="str">
        <f t="shared" si="10"/>
        <v>Pass</v>
      </c>
      <c r="O362" t="str">
        <f t="shared" si="11"/>
        <v>UnderAge</v>
      </c>
      <c r="P362" t="str" cm="1">
        <f t="array" ref="P362">_xlfn.IFS(K362&gt;90,"Excellent",K362&gt;80,"Very Good",K362&gt;70,"Good",K362&gt;=50,"Poor",K362&lt;50,"Fail")</f>
        <v>Poor</v>
      </c>
    </row>
    <row r="363" spans="1:16" x14ac:dyDescent="0.25">
      <c r="A363" t="s">
        <v>372</v>
      </c>
      <c r="B363" t="s">
        <v>1371</v>
      </c>
      <c r="C363" t="s">
        <v>2078</v>
      </c>
      <c r="D363" t="s">
        <v>2627</v>
      </c>
      <c r="E363" t="s">
        <v>2008</v>
      </c>
      <c r="F363">
        <v>14</v>
      </c>
      <c r="G363" t="s">
        <v>2011</v>
      </c>
      <c r="H363" t="s">
        <v>2016</v>
      </c>
      <c r="I363" t="s">
        <v>2021</v>
      </c>
      <c r="J363" t="s">
        <v>2024</v>
      </c>
      <c r="K363">
        <v>28</v>
      </c>
      <c r="L363" t="s">
        <v>2033</v>
      </c>
      <c r="M363" t="s">
        <v>2036</v>
      </c>
      <c r="N363" t="str">
        <f t="shared" si="10"/>
        <v>Fail</v>
      </c>
      <c r="O363" t="str">
        <f t="shared" si="11"/>
        <v>UnderAge</v>
      </c>
      <c r="P363" t="str" cm="1">
        <f t="array" ref="P363">_xlfn.IFS(K363&gt;90,"Excellent",K363&gt;80,"Very Good",K363&gt;70,"Good",K363&gt;=50,"Poor",K363&lt;50,"Fail")</f>
        <v>Fail</v>
      </c>
    </row>
    <row r="364" spans="1:16" x14ac:dyDescent="0.25">
      <c r="A364" t="s">
        <v>373</v>
      </c>
      <c r="B364" t="s">
        <v>1372</v>
      </c>
      <c r="C364" t="s">
        <v>2157</v>
      </c>
      <c r="D364" t="s">
        <v>2622</v>
      </c>
      <c r="E364" t="s">
        <v>2007</v>
      </c>
      <c r="F364">
        <v>15</v>
      </c>
      <c r="G364" t="s">
        <v>2010</v>
      </c>
      <c r="H364" t="s">
        <v>2017</v>
      </c>
      <c r="I364" t="s">
        <v>2020</v>
      </c>
      <c r="J364" t="s">
        <v>2024</v>
      </c>
      <c r="K364">
        <v>25</v>
      </c>
      <c r="L364" t="s">
        <v>2028</v>
      </c>
      <c r="M364" t="s">
        <v>2036</v>
      </c>
      <c r="N364" t="str">
        <f t="shared" si="10"/>
        <v>Fail</v>
      </c>
      <c r="O364" t="str">
        <f t="shared" si="11"/>
        <v>UnderAge</v>
      </c>
      <c r="P364" t="str" cm="1">
        <f t="array" ref="P364">_xlfn.IFS(K364&gt;90,"Excellent",K364&gt;80,"Very Good",K364&gt;70,"Good",K364&gt;=50,"Poor",K364&lt;50,"Fail")</f>
        <v>Fail</v>
      </c>
    </row>
    <row r="365" spans="1:16" x14ac:dyDescent="0.25">
      <c r="A365" t="s">
        <v>374</v>
      </c>
      <c r="B365" t="s">
        <v>1373</v>
      </c>
      <c r="C365" t="s">
        <v>2254</v>
      </c>
      <c r="D365" t="s">
        <v>2628</v>
      </c>
      <c r="E365" t="s">
        <v>2007</v>
      </c>
      <c r="F365">
        <v>16</v>
      </c>
      <c r="G365" t="s">
        <v>2010</v>
      </c>
      <c r="H365" t="s">
        <v>2017</v>
      </c>
      <c r="I365" t="s">
        <v>2021</v>
      </c>
      <c r="J365" t="s">
        <v>2023</v>
      </c>
      <c r="K365">
        <v>46</v>
      </c>
      <c r="L365" t="s">
        <v>2034</v>
      </c>
      <c r="M365" t="s">
        <v>2036</v>
      </c>
      <c r="N365" t="str">
        <f t="shared" si="10"/>
        <v>Fail</v>
      </c>
      <c r="O365" t="str">
        <f t="shared" si="11"/>
        <v>UnderAge</v>
      </c>
      <c r="P365" t="str" cm="1">
        <f t="array" ref="P365">_xlfn.IFS(K365&gt;90,"Excellent",K365&gt;80,"Very Good",K365&gt;70,"Good",K365&gt;=50,"Poor",K365&lt;50,"Fail")</f>
        <v>Fail</v>
      </c>
    </row>
    <row r="366" spans="1:16" x14ac:dyDescent="0.25">
      <c r="A366" t="s">
        <v>375</v>
      </c>
      <c r="B366" t="s">
        <v>1374</v>
      </c>
      <c r="C366" t="s">
        <v>2159</v>
      </c>
      <c r="D366" t="s">
        <v>2295</v>
      </c>
      <c r="E366" t="s">
        <v>2008</v>
      </c>
      <c r="F366">
        <v>16</v>
      </c>
      <c r="G366" t="s">
        <v>2012</v>
      </c>
      <c r="H366" t="s">
        <v>2014</v>
      </c>
      <c r="I366" t="s">
        <v>2018</v>
      </c>
      <c r="J366" t="s">
        <v>2023</v>
      </c>
      <c r="K366">
        <v>28</v>
      </c>
      <c r="L366" t="s">
        <v>2032</v>
      </c>
      <c r="M366" t="s">
        <v>2036</v>
      </c>
      <c r="N366" t="str">
        <f t="shared" si="10"/>
        <v>Fail</v>
      </c>
      <c r="O366" t="str">
        <f t="shared" si="11"/>
        <v>UnderAge</v>
      </c>
      <c r="P366" t="str" cm="1">
        <f t="array" ref="P366">_xlfn.IFS(K366&gt;90,"Excellent",K366&gt;80,"Very Good",K366&gt;70,"Good",K366&gt;=50,"Poor",K366&lt;50,"Fail")</f>
        <v>Fail</v>
      </c>
    </row>
    <row r="367" spans="1:16" x14ac:dyDescent="0.25">
      <c r="A367" t="s">
        <v>376</v>
      </c>
      <c r="B367" t="s">
        <v>1375</v>
      </c>
      <c r="C367" t="s">
        <v>2157</v>
      </c>
      <c r="D367" t="s">
        <v>2056</v>
      </c>
      <c r="E367" t="s">
        <v>2007</v>
      </c>
      <c r="F367">
        <v>16</v>
      </c>
      <c r="G367" t="s">
        <v>2009</v>
      </c>
      <c r="H367" t="s">
        <v>2015</v>
      </c>
      <c r="I367" t="s">
        <v>2020</v>
      </c>
      <c r="J367" t="s">
        <v>2023</v>
      </c>
      <c r="K367">
        <v>32</v>
      </c>
      <c r="L367" t="s">
        <v>2033</v>
      </c>
      <c r="M367" t="s">
        <v>2036</v>
      </c>
      <c r="N367" t="str">
        <f t="shared" si="10"/>
        <v>Fail</v>
      </c>
      <c r="O367" t="str">
        <f t="shared" si="11"/>
        <v>UnderAge</v>
      </c>
      <c r="P367" t="str" cm="1">
        <f t="array" ref="P367">_xlfn.IFS(K367&gt;90,"Excellent",K367&gt;80,"Very Good",K367&gt;70,"Good",K367&gt;=50,"Poor",K367&lt;50,"Fail")</f>
        <v>Fail</v>
      </c>
    </row>
    <row r="368" spans="1:16" x14ac:dyDescent="0.25">
      <c r="A368" t="s">
        <v>377</v>
      </c>
      <c r="B368" t="s">
        <v>1376</v>
      </c>
      <c r="C368" t="s">
        <v>2087</v>
      </c>
      <c r="D368" t="s">
        <v>2269</v>
      </c>
      <c r="E368" t="s">
        <v>2007</v>
      </c>
      <c r="F368">
        <v>15</v>
      </c>
      <c r="G368" t="s">
        <v>2013</v>
      </c>
      <c r="H368" t="s">
        <v>2016</v>
      </c>
      <c r="I368" t="s">
        <v>2022</v>
      </c>
      <c r="J368" t="s">
        <v>2024</v>
      </c>
      <c r="K368">
        <v>70</v>
      </c>
      <c r="L368" t="s">
        <v>2033</v>
      </c>
      <c r="M368" t="s">
        <v>2035</v>
      </c>
      <c r="N368" t="str">
        <f t="shared" si="10"/>
        <v>Pass</v>
      </c>
      <c r="O368" t="str">
        <f t="shared" si="11"/>
        <v>UnderAge</v>
      </c>
      <c r="P368" t="str" cm="1">
        <f t="array" ref="P368">_xlfn.IFS(K368&gt;90,"Excellent",K368&gt;80,"Very Good",K368&gt;70,"Good",K368&gt;=50,"Poor",K368&lt;50,"Fail")</f>
        <v>Poor</v>
      </c>
    </row>
    <row r="369" spans="1:16" x14ac:dyDescent="0.25">
      <c r="A369" t="s">
        <v>378</v>
      </c>
      <c r="B369" t="s">
        <v>1377</v>
      </c>
      <c r="C369" t="s">
        <v>2156</v>
      </c>
      <c r="D369" t="s">
        <v>2502</v>
      </c>
      <c r="E369" t="s">
        <v>2008</v>
      </c>
      <c r="F369">
        <v>18</v>
      </c>
      <c r="G369" t="s">
        <v>2013</v>
      </c>
      <c r="H369" t="s">
        <v>2014</v>
      </c>
      <c r="I369" t="s">
        <v>2019</v>
      </c>
      <c r="J369" t="s">
        <v>2024</v>
      </c>
      <c r="K369">
        <v>16</v>
      </c>
      <c r="L369" t="s">
        <v>2026</v>
      </c>
      <c r="M369" t="s">
        <v>2036</v>
      </c>
      <c r="N369" t="str">
        <f t="shared" si="10"/>
        <v>Fail</v>
      </c>
      <c r="O369" t="str">
        <f t="shared" si="11"/>
        <v>Adult</v>
      </c>
      <c r="P369" t="str" cm="1">
        <f t="array" ref="P369">_xlfn.IFS(K369&gt;90,"Excellent",K369&gt;80,"Very Good",K369&gt;70,"Good",K369&gt;=50,"Poor",K369&lt;50,"Fail")</f>
        <v>Fail</v>
      </c>
    </row>
    <row r="370" spans="1:16" x14ac:dyDescent="0.25">
      <c r="A370" t="s">
        <v>379</v>
      </c>
      <c r="B370" t="s">
        <v>1378</v>
      </c>
      <c r="C370" t="s">
        <v>2189</v>
      </c>
      <c r="D370" t="s">
        <v>2516</v>
      </c>
      <c r="E370" t="s">
        <v>2008</v>
      </c>
      <c r="F370">
        <v>15</v>
      </c>
      <c r="G370" t="s">
        <v>2011</v>
      </c>
      <c r="H370" t="s">
        <v>2015</v>
      </c>
      <c r="I370" t="s">
        <v>2020</v>
      </c>
      <c r="J370" t="s">
        <v>2024</v>
      </c>
      <c r="K370">
        <v>0</v>
      </c>
      <c r="L370" t="s">
        <v>2033</v>
      </c>
      <c r="M370" t="s">
        <v>2036</v>
      </c>
      <c r="N370" t="str">
        <f t="shared" si="10"/>
        <v>Fail</v>
      </c>
      <c r="O370" t="str">
        <f t="shared" si="11"/>
        <v>UnderAge</v>
      </c>
      <c r="P370" t="str" cm="1">
        <f t="array" ref="P370">_xlfn.IFS(K370&gt;90,"Excellent",K370&gt;80,"Very Good",K370&gt;70,"Good",K370&gt;=50,"Poor",K370&lt;50,"Fail")</f>
        <v>Fail</v>
      </c>
    </row>
    <row r="371" spans="1:16" x14ac:dyDescent="0.25">
      <c r="A371" t="s">
        <v>380</v>
      </c>
      <c r="B371" t="s">
        <v>1379</v>
      </c>
      <c r="C371" t="s">
        <v>2270</v>
      </c>
      <c r="D371" t="s">
        <v>2554</v>
      </c>
      <c r="E371" t="s">
        <v>2007</v>
      </c>
      <c r="F371">
        <v>16</v>
      </c>
      <c r="G371" t="s">
        <v>2010</v>
      </c>
      <c r="H371" t="s">
        <v>2017</v>
      </c>
      <c r="I371" t="s">
        <v>2018</v>
      </c>
      <c r="J371" t="s">
        <v>2024</v>
      </c>
      <c r="K371">
        <v>17</v>
      </c>
      <c r="L371" t="s">
        <v>2026</v>
      </c>
      <c r="M371" t="s">
        <v>2036</v>
      </c>
      <c r="N371" t="str">
        <f t="shared" si="10"/>
        <v>Fail</v>
      </c>
      <c r="O371" t="str">
        <f t="shared" si="11"/>
        <v>UnderAge</v>
      </c>
      <c r="P371" t="str" cm="1">
        <f t="array" ref="P371">_xlfn.IFS(K371&gt;90,"Excellent",K371&gt;80,"Very Good",K371&gt;70,"Good",K371&gt;=50,"Poor",K371&lt;50,"Fail")</f>
        <v>Fail</v>
      </c>
    </row>
    <row r="372" spans="1:16" x14ac:dyDescent="0.25">
      <c r="A372" t="s">
        <v>381</v>
      </c>
      <c r="B372" t="s">
        <v>1380</v>
      </c>
      <c r="C372" t="s">
        <v>2271</v>
      </c>
      <c r="D372" t="s">
        <v>2251</v>
      </c>
      <c r="E372" t="s">
        <v>2007</v>
      </c>
      <c r="F372">
        <v>18</v>
      </c>
      <c r="G372" t="s">
        <v>2009</v>
      </c>
      <c r="H372" t="s">
        <v>2014</v>
      </c>
      <c r="I372" t="s">
        <v>2022</v>
      </c>
      <c r="J372" t="s">
        <v>2024</v>
      </c>
      <c r="K372">
        <v>43</v>
      </c>
      <c r="L372" t="s">
        <v>2034</v>
      </c>
      <c r="M372" t="s">
        <v>2036</v>
      </c>
      <c r="N372" t="str">
        <f t="shared" si="10"/>
        <v>Fail</v>
      </c>
      <c r="O372" t="str">
        <f t="shared" si="11"/>
        <v>Adult</v>
      </c>
      <c r="P372" t="str" cm="1">
        <f t="array" ref="P372">_xlfn.IFS(K372&gt;90,"Excellent",K372&gt;80,"Very Good",K372&gt;70,"Good",K372&gt;=50,"Poor",K372&lt;50,"Fail")</f>
        <v>Fail</v>
      </c>
    </row>
    <row r="373" spans="1:16" x14ac:dyDescent="0.25">
      <c r="A373" t="s">
        <v>382</v>
      </c>
      <c r="B373" t="s">
        <v>1381</v>
      </c>
      <c r="C373" t="s">
        <v>2171</v>
      </c>
      <c r="D373" t="s">
        <v>2446</v>
      </c>
      <c r="E373" t="s">
        <v>2008</v>
      </c>
      <c r="F373">
        <v>18</v>
      </c>
      <c r="G373" t="s">
        <v>2009</v>
      </c>
      <c r="H373" t="s">
        <v>2014</v>
      </c>
      <c r="I373" t="s">
        <v>2020</v>
      </c>
      <c r="J373" t="s">
        <v>2024</v>
      </c>
      <c r="K373">
        <v>69</v>
      </c>
      <c r="L373" t="s">
        <v>2031</v>
      </c>
      <c r="M373" t="s">
        <v>2035</v>
      </c>
      <c r="N373" t="str">
        <f t="shared" si="10"/>
        <v>Pass</v>
      </c>
      <c r="O373" t="str">
        <f t="shared" si="11"/>
        <v>Adult</v>
      </c>
      <c r="P373" t="str" cm="1">
        <f t="array" ref="P373">_xlfn.IFS(K373&gt;90,"Excellent",K373&gt;80,"Very Good",K373&gt;70,"Good",K373&gt;=50,"Poor",K373&lt;50,"Fail")</f>
        <v>Poor</v>
      </c>
    </row>
    <row r="374" spans="1:16" x14ac:dyDescent="0.25">
      <c r="A374" t="s">
        <v>383</v>
      </c>
      <c r="B374" t="s">
        <v>1382</v>
      </c>
      <c r="C374" t="s">
        <v>2272</v>
      </c>
      <c r="D374" t="s">
        <v>2629</v>
      </c>
      <c r="E374" t="s">
        <v>2008</v>
      </c>
      <c r="F374">
        <v>17</v>
      </c>
      <c r="G374" t="s">
        <v>2013</v>
      </c>
      <c r="H374" t="s">
        <v>2017</v>
      </c>
      <c r="I374" t="s">
        <v>2021</v>
      </c>
      <c r="J374" t="s">
        <v>2024</v>
      </c>
      <c r="K374">
        <v>31</v>
      </c>
      <c r="L374" t="s">
        <v>2029</v>
      </c>
      <c r="M374" t="s">
        <v>2036</v>
      </c>
      <c r="N374" t="str">
        <f t="shared" si="10"/>
        <v>Fail</v>
      </c>
      <c r="O374" t="str">
        <f t="shared" si="11"/>
        <v>UnderAge</v>
      </c>
      <c r="P374" t="str" cm="1">
        <f t="array" ref="P374">_xlfn.IFS(K374&gt;90,"Excellent",K374&gt;80,"Very Good",K374&gt;70,"Good",K374&gt;=50,"Poor",K374&lt;50,"Fail")</f>
        <v>Fail</v>
      </c>
    </row>
    <row r="375" spans="1:16" x14ac:dyDescent="0.25">
      <c r="A375" t="s">
        <v>384</v>
      </c>
      <c r="B375" t="s">
        <v>1383</v>
      </c>
      <c r="C375" t="s">
        <v>2103</v>
      </c>
      <c r="D375" t="s">
        <v>2421</v>
      </c>
      <c r="E375" t="s">
        <v>2007</v>
      </c>
      <c r="F375">
        <v>14</v>
      </c>
      <c r="G375" t="s">
        <v>2012</v>
      </c>
      <c r="H375" t="s">
        <v>2017</v>
      </c>
      <c r="I375" t="s">
        <v>2018</v>
      </c>
      <c r="J375" t="s">
        <v>2024</v>
      </c>
      <c r="K375">
        <v>20</v>
      </c>
      <c r="L375" t="s">
        <v>2033</v>
      </c>
      <c r="M375" t="s">
        <v>2036</v>
      </c>
      <c r="N375" t="str">
        <f t="shared" si="10"/>
        <v>Fail</v>
      </c>
      <c r="O375" t="str">
        <f t="shared" si="11"/>
        <v>UnderAge</v>
      </c>
      <c r="P375" t="str" cm="1">
        <f t="array" ref="P375">_xlfn.IFS(K375&gt;90,"Excellent",K375&gt;80,"Very Good",K375&gt;70,"Good",K375&gt;=50,"Poor",K375&lt;50,"Fail")</f>
        <v>Fail</v>
      </c>
    </row>
    <row r="376" spans="1:16" x14ac:dyDescent="0.25">
      <c r="A376" t="s">
        <v>385</v>
      </c>
      <c r="B376" t="s">
        <v>1384</v>
      </c>
      <c r="C376" t="s">
        <v>2273</v>
      </c>
      <c r="D376" t="s">
        <v>2484</v>
      </c>
      <c r="E376" t="s">
        <v>2008</v>
      </c>
      <c r="F376">
        <v>14</v>
      </c>
      <c r="G376" t="s">
        <v>2009</v>
      </c>
      <c r="H376" t="s">
        <v>2014</v>
      </c>
      <c r="I376" t="s">
        <v>2018</v>
      </c>
      <c r="J376" t="s">
        <v>2023</v>
      </c>
      <c r="K376">
        <v>61</v>
      </c>
      <c r="L376" t="s">
        <v>2025</v>
      </c>
      <c r="M376" t="s">
        <v>2035</v>
      </c>
      <c r="N376" t="str">
        <f t="shared" si="10"/>
        <v>Pass</v>
      </c>
      <c r="O376" t="str">
        <f t="shared" si="11"/>
        <v>UnderAge</v>
      </c>
      <c r="P376" t="str" cm="1">
        <f t="array" ref="P376">_xlfn.IFS(K376&gt;90,"Excellent",K376&gt;80,"Very Good",K376&gt;70,"Good",K376&gt;=50,"Poor",K376&lt;50,"Fail")</f>
        <v>Poor</v>
      </c>
    </row>
    <row r="377" spans="1:16" x14ac:dyDescent="0.25">
      <c r="A377" t="s">
        <v>386</v>
      </c>
      <c r="B377" t="s">
        <v>1385</v>
      </c>
      <c r="C377" t="s">
        <v>2122</v>
      </c>
      <c r="D377" t="s">
        <v>2416</v>
      </c>
      <c r="E377" t="s">
        <v>2007</v>
      </c>
      <c r="F377">
        <v>17</v>
      </c>
      <c r="G377" t="s">
        <v>2009</v>
      </c>
      <c r="H377" t="s">
        <v>2017</v>
      </c>
      <c r="I377" t="s">
        <v>2018</v>
      </c>
      <c r="J377" t="s">
        <v>2024</v>
      </c>
      <c r="K377">
        <v>4</v>
      </c>
      <c r="L377" t="s">
        <v>2025</v>
      </c>
      <c r="M377" t="s">
        <v>2036</v>
      </c>
      <c r="N377" t="str">
        <f t="shared" si="10"/>
        <v>Fail</v>
      </c>
      <c r="O377" t="str">
        <f t="shared" si="11"/>
        <v>UnderAge</v>
      </c>
      <c r="P377" t="str" cm="1">
        <f t="array" ref="P377">_xlfn.IFS(K377&gt;90,"Excellent",K377&gt;80,"Very Good",K377&gt;70,"Good",K377&gt;=50,"Poor",K377&lt;50,"Fail")</f>
        <v>Fail</v>
      </c>
    </row>
    <row r="378" spans="1:16" x14ac:dyDescent="0.25">
      <c r="A378" t="s">
        <v>387</v>
      </c>
      <c r="B378" t="s">
        <v>1386</v>
      </c>
      <c r="C378" t="s">
        <v>2274</v>
      </c>
      <c r="D378" t="s">
        <v>2501</v>
      </c>
      <c r="E378" t="s">
        <v>2008</v>
      </c>
      <c r="F378">
        <v>18</v>
      </c>
      <c r="G378" t="s">
        <v>2011</v>
      </c>
      <c r="H378" t="s">
        <v>2016</v>
      </c>
      <c r="I378" t="s">
        <v>2020</v>
      </c>
      <c r="J378" t="s">
        <v>2024</v>
      </c>
      <c r="K378">
        <v>96</v>
      </c>
      <c r="L378" t="s">
        <v>2027</v>
      </c>
      <c r="M378" t="s">
        <v>2035</v>
      </c>
      <c r="N378" t="str">
        <f t="shared" si="10"/>
        <v>Pass</v>
      </c>
      <c r="O378" t="str">
        <f t="shared" si="11"/>
        <v>Adult</v>
      </c>
      <c r="P378" t="str" cm="1">
        <f t="array" ref="P378">_xlfn.IFS(K378&gt;90,"Excellent",K378&gt;80,"Very Good",K378&gt;70,"Good",K378&gt;=50,"Poor",K378&lt;50,"Fail")</f>
        <v>Excellent</v>
      </c>
    </row>
    <row r="379" spans="1:16" x14ac:dyDescent="0.25">
      <c r="A379" t="s">
        <v>388</v>
      </c>
      <c r="B379" t="s">
        <v>1387</v>
      </c>
      <c r="C379" t="s">
        <v>2231</v>
      </c>
      <c r="D379" t="s">
        <v>2630</v>
      </c>
      <c r="E379" t="s">
        <v>2007</v>
      </c>
      <c r="F379">
        <v>18</v>
      </c>
      <c r="G379" t="s">
        <v>2010</v>
      </c>
      <c r="H379" t="s">
        <v>2015</v>
      </c>
      <c r="I379" t="s">
        <v>2018</v>
      </c>
      <c r="J379" t="s">
        <v>2024</v>
      </c>
      <c r="K379">
        <v>52</v>
      </c>
      <c r="L379" t="s">
        <v>2026</v>
      </c>
      <c r="M379" t="s">
        <v>2035</v>
      </c>
      <c r="N379" t="str">
        <f t="shared" si="10"/>
        <v>Pass</v>
      </c>
      <c r="O379" t="str">
        <f t="shared" si="11"/>
        <v>Adult</v>
      </c>
      <c r="P379" t="str" cm="1">
        <f t="array" ref="P379">_xlfn.IFS(K379&gt;90,"Excellent",K379&gt;80,"Very Good",K379&gt;70,"Good",K379&gt;=50,"Poor",K379&lt;50,"Fail")</f>
        <v>Poor</v>
      </c>
    </row>
    <row r="380" spans="1:16" x14ac:dyDescent="0.25">
      <c r="A380" t="s">
        <v>389</v>
      </c>
      <c r="B380" t="s">
        <v>1388</v>
      </c>
      <c r="C380" t="s">
        <v>2157</v>
      </c>
      <c r="D380" t="s">
        <v>2573</v>
      </c>
      <c r="E380" t="s">
        <v>2008</v>
      </c>
      <c r="F380">
        <v>16</v>
      </c>
      <c r="G380" t="s">
        <v>2011</v>
      </c>
      <c r="H380" t="s">
        <v>2016</v>
      </c>
      <c r="I380" t="s">
        <v>2019</v>
      </c>
      <c r="J380" t="s">
        <v>2023</v>
      </c>
      <c r="K380">
        <v>30</v>
      </c>
      <c r="L380" t="s">
        <v>2025</v>
      </c>
      <c r="M380" t="s">
        <v>2036</v>
      </c>
      <c r="N380" t="str">
        <f t="shared" si="10"/>
        <v>Fail</v>
      </c>
      <c r="O380" t="str">
        <f t="shared" si="11"/>
        <v>UnderAge</v>
      </c>
      <c r="P380" t="str" cm="1">
        <f t="array" ref="P380">_xlfn.IFS(K380&gt;90,"Excellent",K380&gt;80,"Very Good",K380&gt;70,"Good",K380&gt;=50,"Poor",K380&lt;50,"Fail")</f>
        <v>Fail</v>
      </c>
    </row>
    <row r="381" spans="1:16" x14ac:dyDescent="0.25">
      <c r="A381" t="s">
        <v>390</v>
      </c>
      <c r="B381" t="s">
        <v>1389</v>
      </c>
      <c r="C381" t="s">
        <v>2149</v>
      </c>
      <c r="D381" t="s">
        <v>2606</v>
      </c>
      <c r="E381" t="s">
        <v>2007</v>
      </c>
      <c r="F381">
        <v>17</v>
      </c>
      <c r="G381" t="s">
        <v>2009</v>
      </c>
      <c r="H381" t="s">
        <v>2016</v>
      </c>
      <c r="I381" t="s">
        <v>2022</v>
      </c>
      <c r="J381" t="s">
        <v>2023</v>
      </c>
      <c r="K381">
        <v>26</v>
      </c>
      <c r="L381" t="s">
        <v>2026</v>
      </c>
      <c r="M381" t="s">
        <v>2036</v>
      </c>
      <c r="N381" t="str">
        <f t="shared" si="10"/>
        <v>Fail</v>
      </c>
      <c r="O381" t="str">
        <f t="shared" si="11"/>
        <v>UnderAge</v>
      </c>
      <c r="P381" t="str" cm="1">
        <f t="array" ref="P381">_xlfn.IFS(K381&gt;90,"Excellent",K381&gt;80,"Very Good",K381&gt;70,"Good",K381&gt;=50,"Poor",K381&lt;50,"Fail")</f>
        <v>Fail</v>
      </c>
    </row>
    <row r="382" spans="1:16" x14ac:dyDescent="0.25">
      <c r="A382" t="s">
        <v>391</v>
      </c>
      <c r="B382" t="s">
        <v>1390</v>
      </c>
      <c r="C382" t="s">
        <v>2070</v>
      </c>
      <c r="D382" t="s">
        <v>2631</v>
      </c>
      <c r="E382" t="s">
        <v>2007</v>
      </c>
      <c r="F382">
        <v>18</v>
      </c>
      <c r="G382" t="s">
        <v>2012</v>
      </c>
      <c r="H382" t="s">
        <v>2017</v>
      </c>
      <c r="I382" t="s">
        <v>2020</v>
      </c>
      <c r="J382" t="s">
        <v>2023</v>
      </c>
      <c r="K382">
        <v>86</v>
      </c>
      <c r="L382" t="s">
        <v>2026</v>
      </c>
      <c r="M382" t="s">
        <v>2035</v>
      </c>
      <c r="N382" t="str">
        <f t="shared" si="10"/>
        <v>Pass</v>
      </c>
      <c r="O382" t="str">
        <f t="shared" si="11"/>
        <v>Adult</v>
      </c>
      <c r="P382" t="str" cm="1">
        <f t="array" ref="P382">_xlfn.IFS(K382&gt;90,"Excellent",K382&gt;80,"Very Good",K382&gt;70,"Good",K382&gt;=50,"Poor",K382&lt;50,"Fail")</f>
        <v>Very Good</v>
      </c>
    </row>
    <row r="383" spans="1:16" x14ac:dyDescent="0.25">
      <c r="A383" t="s">
        <v>392</v>
      </c>
      <c r="B383" t="s">
        <v>1391</v>
      </c>
      <c r="C383" t="s">
        <v>2138</v>
      </c>
      <c r="D383" t="s">
        <v>2632</v>
      </c>
      <c r="E383" t="s">
        <v>2008</v>
      </c>
      <c r="F383">
        <v>15</v>
      </c>
      <c r="G383" t="s">
        <v>2013</v>
      </c>
      <c r="H383" t="s">
        <v>2014</v>
      </c>
      <c r="I383" t="s">
        <v>2022</v>
      </c>
      <c r="J383" t="s">
        <v>2023</v>
      </c>
      <c r="K383">
        <v>23</v>
      </c>
      <c r="L383" t="s">
        <v>2034</v>
      </c>
      <c r="M383" t="s">
        <v>2036</v>
      </c>
      <c r="N383" t="str">
        <f t="shared" si="10"/>
        <v>Fail</v>
      </c>
      <c r="O383" t="str">
        <f t="shared" si="11"/>
        <v>UnderAge</v>
      </c>
      <c r="P383" t="str" cm="1">
        <f t="array" ref="P383">_xlfn.IFS(K383&gt;90,"Excellent",K383&gt;80,"Very Good",K383&gt;70,"Good",K383&gt;=50,"Poor",K383&lt;50,"Fail")</f>
        <v>Fail</v>
      </c>
    </row>
    <row r="384" spans="1:16" x14ac:dyDescent="0.25">
      <c r="A384" t="s">
        <v>393</v>
      </c>
      <c r="B384" t="s">
        <v>1392</v>
      </c>
      <c r="C384" t="s">
        <v>2147</v>
      </c>
      <c r="D384" t="s">
        <v>2573</v>
      </c>
      <c r="E384" t="s">
        <v>2007</v>
      </c>
      <c r="F384">
        <v>17</v>
      </c>
      <c r="G384" t="s">
        <v>2012</v>
      </c>
      <c r="H384" t="s">
        <v>2016</v>
      </c>
      <c r="I384" t="s">
        <v>2021</v>
      </c>
      <c r="J384" t="s">
        <v>2024</v>
      </c>
      <c r="K384">
        <v>22</v>
      </c>
      <c r="L384" t="s">
        <v>2031</v>
      </c>
      <c r="M384" t="s">
        <v>2036</v>
      </c>
      <c r="N384" t="str">
        <f t="shared" si="10"/>
        <v>Fail</v>
      </c>
      <c r="O384" t="str">
        <f t="shared" si="11"/>
        <v>UnderAge</v>
      </c>
      <c r="P384" t="str" cm="1">
        <f t="array" ref="P384">_xlfn.IFS(K384&gt;90,"Excellent",K384&gt;80,"Very Good",K384&gt;70,"Good",K384&gt;=50,"Poor",K384&lt;50,"Fail")</f>
        <v>Fail</v>
      </c>
    </row>
    <row r="385" spans="1:16" x14ac:dyDescent="0.25">
      <c r="A385" t="s">
        <v>394</v>
      </c>
      <c r="B385" t="s">
        <v>1393</v>
      </c>
      <c r="C385" t="s">
        <v>2070</v>
      </c>
      <c r="D385" t="s">
        <v>2633</v>
      </c>
      <c r="E385" t="s">
        <v>2008</v>
      </c>
      <c r="F385">
        <v>18</v>
      </c>
      <c r="G385" t="s">
        <v>2012</v>
      </c>
      <c r="H385" t="s">
        <v>2015</v>
      </c>
      <c r="I385" t="s">
        <v>2018</v>
      </c>
      <c r="J385" t="s">
        <v>2023</v>
      </c>
      <c r="K385">
        <v>33</v>
      </c>
      <c r="L385" t="s">
        <v>2028</v>
      </c>
      <c r="M385" t="s">
        <v>2036</v>
      </c>
      <c r="N385" t="str">
        <f t="shared" si="10"/>
        <v>Fail</v>
      </c>
      <c r="O385" t="str">
        <f t="shared" si="11"/>
        <v>Adult</v>
      </c>
      <c r="P385" t="str" cm="1">
        <f t="array" ref="P385">_xlfn.IFS(K385&gt;90,"Excellent",K385&gt;80,"Very Good",K385&gt;70,"Good",K385&gt;=50,"Poor",K385&lt;50,"Fail")</f>
        <v>Fail</v>
      </c>
    </row>
    <row r="386" spans="1:16" x14ac:dyDescent="0.25">
      <c r="A386" t="s">
        <v>395</v>
      </c>
      <c r="B386" t="s">
        <v>1394</v>
      </c>
      <c r="C386" t="s">
        <v>2183</v>
      </c>
      <c r="D386" t="s">
        <v>2634</v>
      </c>
      <c r="E386" t="s">
        <v>2008</v>
      </c>
      <c r="F386">
        <v>15</v>
      </c>
      <c r="G386" t="s">
        <v>2009</v>
      </c>
      <c r="H386" t="s">
        <v>2014</v>
      </c>
      <c r="I386" t="s">
        <v>2022</v>
      </c>
      <c r="J386" t="s">
        <v>2023</v>
      </c>
      <c r="K386">
        <v>9</v>
      </c>
      <c r="L386" t="s">
        <v>2030</v>
      </c>
      <c r="M386" t="s">
        <v>2036</v>
      </c>
      <c r="N386" t="str">
        <f t="shared" si="10"/>
        <v>Fail</v>
      </c>
      <c r="O386" t="str">
        <f t="shared" si="11"/>
        <v>UnderAge</v>
      </c>
      <c r="P386" t="str" cm="1">
        <f t="array" ref="P386">_xlfn.IFS(K386&gt;90,"Excellent",K386&gt;80,"Very Good",K386&gt;70,"Good",K386&gt;=50,"Poor",K386&lt;50,"Fail")</f>
        <v>Fail</v>
      </c>
    </row>
    <row r="387" spans="1:16" x14ac:dyDescent="0.25">
      <c r="A387" t="s">
        <v>396</v>
      </c>
      <c r="B387" t="s">
        <v>1395</v>
      </c>
      <c r="C387" t="s">
        <v>2100</v>
      </c>
      <c r="D387" t="s">
        <v>2635</v>
      </c>
      <c r="E387" t="s">
        <v>2008</v>
      </c>
      <c r="F387">
        <v>17</v>
      </c>
      <c r="G387" t="s">
        <v>2010</v>
      </c>
      <c r="H387" t="s">
        <v>2017</v>
      </c>
      <c r="I387" t="s">
        <v>2019</v>
      </c>
      <c r="J387" t="s">
        <v>2024</v>
      </c>
      <c r="K387">
        <v>61</v>
      </c>
      <c r="L387" t="s">
        <v>2029</v>
      </c>
      <c r="M387" t="s">
        <v>2035</v>
      </c>
      <c r="N387" t="str">
        <f t="shared" ref="N387:N450" si="12">IF(K387&gt;=50,"Pass","Fail")</f>
        <v>Pass</v>
      </c>
      <c r="O387" t="str">
        <f t="shared" ref="O387:O450" si="13">IF(F387&gt;=18,"Adult","UnderAge")</f>
        <v>UnderAge</v>
      </c>
      <c r="P387" t="str" cm="1">
        <f t="array" ref="P387">_xlfn.IFS(K387&gt;90,"Excellent",K387&gt;80,"Very Good",K387&gt;70,"Good",K387&gt;=50,"Poor",K387&lt;50,"Fail")</f>
        <v>Poor</v>
      </c>
    </row>
    <row r="388" spans="1:16" x14ac:dyDescent="0.25">
      <c r="A388" t="s">
        <v>397</v>
      </c>
      <c r="B388" t="s">
        <v>1396</v>
      </c>
      <c r="C388" t="s">
        <v>2139</v>
      </c>
      <c r="D388" t="s">
        <v>2636</v>
      </c>
      <c r="E388" t="s">
        <v>2008</v>
      </c>
      <c r="F388">
        <v>16</v>
      </c>
      <c r="G388" t="s">
        <v>2009</v>
      </c>
      <c r="H388" t="s">
        <v>2016</v>
      </c>
      <c r="I388" t="s">
        <v>2020</v>
      </c>
      <c r="J388" t="s">
        <v>2023</v>
      </c>
      <c r="K388">
        <v>94</v>
      </c>
      <c r="L388" t="s">
        <v>2032</v>
      </c>
      <c r="M388" t="s">
        <v>2035</v>
      </c>
      <c r="N388" t="str">
        <f t="shared" si="12"/>
        <v>Pass</v>
      </c>
      <c r="O388" t="str">
        <f t="shared" si="13"/>
        <v>UnderAge</v>
      </c>
      <c r="P388" t="str" cm="1">
        <f t="array" ref="P388">_xlfn.IFS(K388&gt;90,"Excellent",K388&gt;80,"Very Good",K388&gt;70,"Good",K388&gt;=50,"Poor",K388&lt;50,"Fail")</f>
        <v>Excellent</v>
      </c>
    </row>
    <row r="389" spans="1:16" x14ac:dyDescent="0.25">
      <c r="A389" t="s">
        <v>398</v>
      </c>
      <c r="B389" t="s">
        <v>1397</v>
      </c>
      <c r="C389" t="s">
        <v>2275</v>
      </c>
      <c r="D389" t="s">
        <v>2480</v>
      </c>
      <c r="E389" t="s">
        <v>2007</v>
      </c>
      <c r="F389">
        <v>17</v>
      </c>
      <c r="G389" t="s">
        <v>2009</v>
      </c>
      <c r="H389" t="s">
        <v>2016</v>
      </c>
      <c r="I389" t="s">
        <v>2020</v>
      </c>
      <c r="J389" t="s">
        <v>2023</v>
      </c>
      <c r="K389">
        <v>54</v>
      </c>
      <c r="L389" t="s">
        <v>2028</v>
      </c>
      <c r="M389" t="s">
        <v>2035</v>
      </c>
      <c r="N389" t="str">
        <f t="shared" si="12"/>
        <v>Pass</v>
      </c>
      <c r="O389" t="str">
        <f t="shared" si="13"/>
        <v>UnderAge</v>
      </c>
      <c r="P389" t="str" cm="1">
        <f t="array" ref="P389">_xlfn.IFS(K389&gt;90,"Excellent",K389&gt;80,"Very Good",K389&gt;70,"Good",K389&gt;=50,"Poor",K389&lt;50,"Fail")</f>
        <v>Poor</v>
      </c>
    </row>
    <row r="390" spans="1:16" x14ac:dyDescent="0.25">
      <c r="A390" t="s">
        <v>399</v>
      </c>
      <c r="B390" t="s">
        <v>1398</v>
      </c>
      <c r="C390" t="s">
        <v>2255</v>
      </c>
      <c r="D390" t="s">
        <v>2625</v>
      </c>
      <c r="E390" t="s">
        <v>2007</v>
      </c>
      <c r="F390">
        <v>14</v>
      </c>
      <c r="G390" t="s">
        <v>2010</v>
      </c>
      <c r="H390" t="s">
        <v>2014</v>
      </c>
      <c r="I390" t="s">
        <v>2021</v>
      </c>
      <c r="J390" t="s">
        <v>2023</v>
      </c>
      <c r="K390">
        <v>71</v>
      </c>
      <c r="L390" t="s">
        <v>2030</v>
      </c>
      <c r="M390" t="s">
        <v>2035</v>
      </c>
      <c r="N390" t="str">
        <f t="shared" si="12"/>
        <v>Pass</v>
      </c>
      <c r="O390" t="str">
        <f t="shared" si="13"/>
        <v>UnderAge</v>
      </c>
      <c r="P390" t="str" cm="1">
        <f t="array" ref="P390">_xlfn.IFS(K390&gt;90,"Excellent",K390&gt;80,"Very Good",K390&gt;70,"Good",K390&gt;=50,"Poor",K390&lt;50,"Fail")</f>
        <v>Good</v>
      </c>
    </row>
    <row r="391" spans="1:16" x14ac:dyDescent="0.25">
      <c r="A391" t="s">
        <v>400</v>
      </c>
      <c r="B391" t="s">
        <v>1399</v>
      </c>
      <c r="C391" t="s">
        <v>2083</v>
      </c>
      <c r="D391" t="s">
        <v>2637</v>
      </c>
      <c r="E391" t="s">
        <v>2008</v>
      </c>
      <c r="F391">
        <v>15</v>
      </c>
      <c r="G391" t="s">
        <v>2010</v>
      </c>
      <c r="H391" t="s">
        <v>2017</v>
      </c>
      <c r="I391" t="s">
        <v>2021</v>
      </c>
      <c r="J391" t="s">
        <v>2023</v>
      </c>
      <c r="K391">
        <v>33</v>
      </c>
      <c r="L391" t="s">
        <v>2025</v>
      </c>
      <c r="M391" t="s">
        <v>2036</v>
      </c>
      <c r="N391" t="str">
        <f t="shared" si="12"/>
        <v>Fail</v>
      </c>
      <c r="O391" t="str">
        <f t="shared" si="13"/>
        <v>UnderAge</v>
      </c>
      <c r="P391" t="str" cm="1">
        <f t="array" ref="P391">_xlfn.IFS(K391&gt;90,"Excellent",K391&gt;80,"Very Good",K391&gt;70,"Good",K391&gt;=50,"Poor",K391&lt;50,"Fail")</f>
        <v>Fail</v>
      </c>
    </row>
    <row r="392" spans="1:16" x14ac:dyDescent="0.25">
      <c r="A392" t="s">
        <v>401</v>
      </c>
      <c r="B392" t="s">
        <v>1400</v>
      </c>
      <c r="C392" t="s">
        <v>2276</v>
      </c>
      <c r="D392" t="s">
        <v>2048</v>
      </c>
      <c r="E392" t="s">
        <v>2007</v>
      </c>
      <c r="F392">
        <v>15</v>
      </c>
      <c r="G392" t="s">
        <v>2009</v>
      </c>
      <c r="H392" t="s">
        <v>2017</v>
      </c>
      <c r="I392" t="s">
        <v>2021</v>
      </c>
      <c r="J392" t="s">
        <v>2024</v>
      </c>
      <c r="K392">
        <v>24</v>
      </c>
      <c r="L392" t="s">
        <v>2031</v>
      </c>
      <c r="M392" t="s">
        <v>2036</v>
      </c>
      <c r="N392" t="str">
        <f t="shared" si="12"/>
        <v>Fail</v>
      </c>
      <c r="O392" t="str">
        <f t="shared" si="13"/>
        <v>UnderAge</v>
      </c>
      <c r="P392" t="str" cm="1">
        <f t="array" ref="P392">_xlfn.IFS(K392&gt;90,"Excellent",K392&gt;80,"Very Good",K392&gt;70,"Good",K392&gt;=50,"Poor",K392&lt;50,"Fail")</f>
        <v>Fail</v>
      </c>
    </row>
    <row r="393" spans="1:16" x14ac:dyDescent="0.25">
      <c r="A393" t="s">
        <v>402</v>
      </c>
      <c r="B393" t="s">
        <v>1401</v>
      </c>
      <c r="C393" t="s">
        <v>2277</v>
      </c>
      <c r="D393" t="s">
        <v>2592</v>
      </c>
      <c r="E393" t="s">
        <v>2007</v>
      </c>
      <c r="F393">
        <v>18</v>
      </c>
      <c r="G393" t="s">
        <v>2011</v>
      </c>
      <c r="H393" t="s">
        <v>2014</v>
      </c>
      <c r="I393" t="s">
        <v>2019</v>
      </c>
      <c r="J393" t="s">
        <v>2024</v>
      </c>
      <c r="K393">
        <v>78</v>
      </c>
      <c r="L393" t="s">
        <v>2033</v>
      </c>
      <c r="M393" t="s">
        <v>2035</v>
      </c>
      <c r="N393" t="str">
        <f t="shared" si="12"/>
        <v>Pass</v>
      </c>
      <c r="O393" t="str">
        <f t="shared" si="13"/>
        <v>Adult</v>
      </c>
      <c r="P393" t="str" cm="1">
        <f t="array" ref="P393">_xlfn.IFS(K393&gt;90,"Excellent",K393&gt;80,"Very Good",K393&gt;70,"Good",K393&gt;=50,"Poor",K393&lt;50,"Fail")</f>
        <v>Good</v>
      </c>
    </row>
    <row r="394" spans="1:16" x14ac:dyDescent="0.25">
      <c r="A394" t="s">
        <v>403</v>
      </c>
      <c r="B394" t="s">
        <v>1402</v>
      </c>
      <c r="C394" t="s">
        <v>2278</v>
      </c>
      <c r="D394" t="s">
        <v>2046</v>
      </c>
      <c r="E394" t="s">
        <v>2008</v>
      </c>
      <c r="F394">
        <v>18</v>
      </c>
      <c r="G394" t="s">
        <v>2009</v>
      </c>
      <c r="H394" t="s">
        <v>2015</v>
      </c>
      <c r="I394" t="s">
        <v>2020</v>
      </c>
      <c r="J394" t="s">
        <v>2024</v>
      </c>
      <c r="K394">
        <v>10</v>
      </c>
      <c r="L394" t="s">
        <v>2029</v>
      </c>
      <c r="M394" t="s">
        <v>2036</v>
      </c>
      <c r="N394" t="str">
        <f t="shared" si="12"/>
        <v>Fail</v>
      </c>
      <c r="O394" t="str">
        <f t="shared" si="13"/>
        <v>Adult</v>
      </c>
      <c r="P394" t="str" cm="1">
        <f t="array" ref="P394">_xlfn.IFS(K394&gt;90,"Excellent",K394&gt;80,"Very Good",K394&gt;70,"Good",K394&gt;=50,"Poor",K394&lt;50,"Fail")</f>
        <v>Fail</v>
      </c>
    </row>
    <row r="395" spans="1:16" x14ac:dyDescent="0.25">
      <c r="A395" t="s">
        <v>404</v>
      </c>
      <c r="B395" t="s">
        <v>1403</v>
      </c>
      <c r="C395" t="s">
        <v>2113</v>
      </c>
      <c r="D395" t="s">
        <v>2045</v>
      </c>
      <c r="E395" t="s">
        <v>2007</v>
      </c>
      <c r="F395">
        <v>15</v>
      </c>
      <c r="G395" t="s">
        <v>2012</v>
      </c>
      <c r="H395" t="s">
        <v>2015</v>
      </c>
      <c r="I395" t="s">
        <v>2018</v>
      </c>
      <c r="J395" t="s">
        <v>2024</v>
      </c>
      <c r="K395">
        <v>59</v>
      </c>
      <c r="L395" t="s">
        <v>2034</v>
      </c>
      <c r="M395" t="s">
        <v>2035</v>
      </c>
      <c r="N395" t="str">
        <f t="shared" si="12"/>
        <v>Pass</v>
      </c>
      <c r="O395" t="str">
        <f t="shared" si="13"/>
        <v>UnderAge</v>
      </c>
      <c r="P395" t="str" cm="1">
        <f t="array" ref="P395">_xlfn.IFS(K395&gt;90,"Excellent",K395&gt;80,"Very Good",K395&gt;70,"Good",K395&gt;=50,"Poor",K395&lt;50,"Fail")</f>
        <v>Poor</v>
      </c>
    </row>
    <row r="396" spans="1:16" x14ac:dyDescent="0.25">
      <c r="A396" t="s">
        <v>405</v>
      </c>
      <c r="B396" t="s">
        <v>1404</v>
      </c>
      <c r="C396" t="s">
        <v>2153</v>
      </c>
      <c r="D396" t="s">
        <v>2044</v>
      </c>
      <c r="E396" t="s">
        <v>2008</v>
      </c>
      <c r="F396">
        <v>14</v>
      </c>
      <c r="G396" t="s">
        <v>2010</v>
      </c>
      <c r="H396" t="s">
        <v>2017</v>
      </c>
      <c r="I396" t="s">
        <v>2020</v>
      </c>
      <c r="J396" t="s">
        <v>2024</v>
      </c>
      <c r="K396">
        <v>86</v>
      </c>
      <c r="L396" t="s">
        <v>2032</v>
      </c>
      <c r="M396" t="s">
        <v>2035</v>
      </c>
      <c r="N396" t="str">
        <f t="shared" si="12"/>
        <v>Pass</v>
      </c>
      <c r="O396" t="str">
        <f t="shared" si="13"/>
        <v>UnderAge</v>
      </c>
      <c r="P396" t="str" cm="1">
        <f t="array" ref="P396">_xlfn.IFS(K396&gt;90,"Excellent",K396&gt;80,"Very Good",K396&gt;70,"Good",K396&gt;=50,"Poor",K396&lt;50,"Fail")</f>
        <v>Very Good</v>
      </c>
    </row>
    <row r="397" spans="1:16" x14ac:dyDescent="0.25">
      <c r="A397" t="s">
        <v>406</v>
      </c>
      <c r="B397" t="s">
        <v>1405</v>
      </c>
      <c r="C397" t="s">
        <v>2279</v>
      </c>
      <c r="D397" t="s">
        <v>2638</v>
      </c>
      <c r="E397" t="s">
        <v>2008</v>
      </c>
      <c r="F397">
        <v>18</v>
      </c>
      <c r="G397" t="s">
        <v>2012</v>
      </c>
      <c r="H397" t="s">
        <v>2016</v>
      </c>
      <c r="I397" t="s">
        <v>2022</v>
      </c>
      <c r="J397" t="s">
        <v>2024</v>
      </c>
      <c r="K397">
        <v>26</v>
      </c>
      <c r="L397" t="s">
        <v>2033</v>
      </c>
      <c r="M397" t="s">
        <v>2036</v>
      </c>
      <c r="N397" t="str">
        <f t="shared" si="12"/>
        <v>Fail</v>
      </c>
      <c r="O397" t="str">
        <f t="shared" si="13"/>
        <v>Adult</v>
      </c>
      <c r="P397" t="str" cm="1">
        <f t="array" ref="P397">_xlfn.IFS(K397&gt;90,"Excellent",K397&gt;80,"Very Good",K397&gt;70,"Good",K397&gt;=50,"Poor",K397&lt;50,"Fail")</f>
        <v>Fail</v>
      </c>
    </row>
    <row r="398" spans="1:16" x14ac:dyDescent="0.25">
      <c r="A398" t="s">
        <v>407</v>
      </c>
      <c r="B398" t="s">
        <v>1406</v>
      </c>
      <c r="C398" t="s">
        <v>2118</v>
      </c>
      <c r="D398" t="s">
        <v>2639</v>
      </c>
      <c r="E398" t="s">
        <v>2007</v>
      </c>
      <c r="F398">
        <v>14</v>
      </c>
      <c r="G398" t="s">
        <v>2010</v>
      </c>
      <c r="H398" t="s">
        <v>2017</v>
      </c>
      <c r="I398" t="s">
        <v>2021</v>
      </c>
      <c r="J398" t="s">
        <v>2023</v>
      </c>
      <c r="K398">
        <v>66</v>
      </c>
      <c r="L398" t="s">
        <v>2030</v>
      </c>
      <c r="M398" t="s">
        <v>2035</v>
      </c>
      <c r="N398" t="str">
        <f t="shared" si="12"/>
        <v>Pass</v>
      </c>
      <c r="O398" t="str">
        <f t="shared" si="13"/>
        <v>UnderAge</v>
      </c>
      <c r="P398" t="str" cm="1">
        <f t="array" ref="P398">_xlfn.IFS(K398&gt;90,"Excellent",K398&gt;80,"Very Good",K398&gt;70,"Good",K398&gt;=50,"Poor",K398&lt;50,"Fail")</f>
        <v>Poor</v>
      </c>
    </row>
    <row r="399" spans="1:16" x14ac:dyDescent="0.25">
      <c r="A399" t="s">
        <v>408</v>
      </c>
      <c r="B399" t="s">
        <v>1407</v>
      </c>
      <c r="C399" t="s">
        <v>2280</v>
      </c>
      <c r="D399" t="s">
        <v>2447</v>
      </c>
      <c r="E399" t="s">
        <v>2007</v>
      </c>
      <c r="F399">
        <v>16</v>
      </c>
      <c r="G399" t="s">
        <v>2009</v>
      </c>
      <c r="H399" t="s">
        <v>2014</v>
      </c>
      <c r="I399" t="s">
        <v>2021</v>
      </c>
      <c r="J399" t="s">
        <v>2024</v>
      </c>
      <c r="K399">
        <v>5</v>
      </c>
      <c r="L399" t="s">
        <v>2032</v>
      </c>
      <c r="M399" t="s">
        <v>2036</v>
      </c>
      <c r="N399" t="str">
        <f t="shared" si="12"/>
        <v>Fail</v>
      </c>
      <c r="O399" t="str">
        <f t="shared" si="13"/>
        <v>UnderAge</v>
      </c>
      <c r="P399" t="str" cm="1">
        <f t="array" ref="P399">_xlfn.IFS(K399&gt;90,"Excellent",K399&gt;80,"Very Good",K399&gt;70,"Good",K399&gt;=50,"Poor",K399&lt;50,"Fail")</f>
        <v>Fail</v>
      </c>
    </row>
    <row r="400" spans="1:16" x14ac:dyDescent="0.25">
      <c r="A400" t="s">
        <v>409</v>
      </c>
      <c r="B400" t="s">
        <v>1408</v>
      </c>
      <c r="C400" t="s">
        <v>2199</v>
      </c>
      <c r="D400" t="s">
        <v>2640</v>
      </c>
      <c r="E400" t="s">
        <v>2007</v>
      </c>
      <c r="F400">
        <v>15</v>
      </c>
      <c r="G400" t="s">
        <v>2010</v>
      </c>
      <c r="H400" t="s">
        <v>2017</v>
      </c>
      <c r="I400" t="s">
        <v>2020</v>
      </c>
      <c r="J400" t="s">
        <v>2024</v>
      </c>
      <c r="K400">
        <v>37</v>
      </c>
      <c r="L400" t="s">
        <v>2031</v>
      </c>
      <c r="M400" t="s">
        <v>2036</v>
      </c>
      <c r="N400" t="str">
        <f t="shared" si="12"/>
        <v>Fail</v>
      </c>
      <c r="O400" t="str">
        <f t="shared" si="13"/>
        <v>UnderAge</v>
      </c>
      <c r="P400" t="str" cm="1">
        <f t="array" ref="P400">_xlfn.IFS(K400&gt;90,"Excellent",K400&gt;80,"Very Good",K400&gt;70,"Good",K400&gt;=50,"Poor",K400&lt;50,"Fail")</f>
        <v>Fail</v>
      </c>
    </row>
    <row r="401" spans="1:16" x14ac:dyDescent="0.25">
      <c r="A401" t="s">
        <v>410</v>
      </c>
      <c r="B401" t="s">
        <v>1409</v>
      </c>
      <c r="C401" t="s">
        <v>2198</v>
      </c>
      <c r="D401" t="s">
        <v>2601</v>
      </c>
      <c r="E401" t="s">
        <v>2008</v>
      </c>
      <c r="F401">
        <v>17</v>
      </c>
      <c r="G401" t="s">
        <v>2011</v>
      </c>
      <c r="H401" t="s">
        <v>2014</v>
      </c>
      <c r="I401" t="s">
        <v>2021</v>
      </c>
      <c r="J401" t="s">
        <v>2024</v>
      </c>
      <c r="K401">
        <v>36</v>
      </c>
      <c r="L401" t="s">
        <v>2029</v>
      </c>
      <c r="M401" t="s">
        <v>2036</v>
      </c>
      <c r="N401" t="str">
        <f t="shared" si="12"/>
        <v>Fail</v>
      </c>
      <c r="O401" t="str">
        <f t="shared" si="13"/>
        <v>UnderAge</v>
      </c>
      <c r="P401" t="str" cm="1">
        <f t="array" ref="P401">_xlfn.IFS(K401&gt;90,"Excellent",K401&gt;80,"Very Good",K401&gt;70,"Good",K401&gt;=50,"Poor",K401&lt;50,"Fail")</f>
        <v>Fail</v>
      </c>
    </row>
    <row r="402" spans="1:16" x14ac:dyDescent="0.25">
      <c r="A402" t="s">
        <v>411</v>
      </c>
      <c r="B402" t="s">
        <v>1410</v>
      </c>
      <c r="C402" t="s">
        <v>2157</v>
      </c>
      <c r="D402" t="s">
        <v>2586</v>
      </c>
      <c r="E402" t="s">
        <v>2007</v>
      </c>
      <c r="F402">
        <v>18</v>
      </c>
      <c r="G402" t="s">
        <v>2010</v>
      </c>
      <c r="H402" t="s">
        <v>2017</v>
      </c>
      <c r="I402" t="s">
        <v>2021</v>
      </c>
      <c r="J402" t="s">
        <v>2023</v>
      </c>
      <c r="K402">
        <v>12</v>
      </c>
      <c r="L402" t="s">
        <v>2029</v>
      </c>
      <c r="M402" t="s">
        <v>2036</v>
      </c>
      <c r="N402" t="str">
        <f t="shared" si="12"/>
        <v>Fail</v>
      </c>
      <c r="O402" t="str">
        <f t="shared" si="13"/>
        <v>Adult</v>
      </c>
      <c r="P402" t="str" cm="1">
        <f t="array" ref="P402">_xlfn.IFS(K402&gt;90,"Excellent",K402&gt;80,"Very Good",K402&gt;70,"Good",K402&gt;=50,"Poor",K402&lt;50,"Fail")</f>
        <v>Fail</v>
      </c>
    </row>
    <row r="403" spans="1:16" x14ac:dyDescent="0.25">
      <c r="A403" t="s">
        <v>412</v>
      </c>
      <c r="B403" t="s">
        <v>1411</v>
      </c>
      <c r="C403" t="s">
        <v>2250</v>
      </c>
      <c r="D403" t="s">
        <v>2641</v>
      </c>
      <c r="E403" t="s">
        <v>2007</v>
      </c>
      <c r="F403">
        <v>14</v>
      </c>
      <c r="G403" t="s">
        <v>2012</v>
      </c>
      <c r="H403" t="s">
        <v>2016</v>
      </c>
      <c r="I403" t="s">
        <v>2022</v>
      </c>
      <c r="J403" t="s">
        <v>2023</v>
      </c>
      <c r="K403">
        <v>42</v>
      </c>
      <c r="L403" t="s">
        <v>2027</v>
      </c>
      <c r="M403" t="s">
        <v>2036</v>
      </c>
      <c r="N403" t="str">
        <f t="shared" si="12"/>
        <v>Fail</v>
      </c>
      <c r="O403" t="str">
        <f t="shared" si="13"/>
        <v>UnderAge</v>
      </c>
      <c r="P403" t="str" cm="1">
        <f t="array" ref="P403">_xlfn.IFS(K403&gt;90,"Excellent",K403&gt;80,"Very Good",K403&gt;70,"Good",K403&gt;=50,"Poor",K403&lt;50,"Fail")</f>
        <v>Fail</v>
      </c>
    </row>
    <row r="404" spans="1:16" x14ac:dyDescent="0.25">
      <c r="A404" t="s">
        <v>413</v>
      </c>
      <c r="B404" t="s">
        <v>1412</v>
      </c>
      <c r="C404" t="s">
        <v>2281</v>
      </c>
      <c r="D404" t="s">
        <v>2537</v>
      </c>
      <c r="E404" t="s">
        <v>2008</v>
      </c>
      <c r="F404">
        <v>17</v>
      </c>
      <c r="G404" t="s">
        <v>2009</v>
      </c>
      <c r="H404" t="s">
        <v>2016</v>
      </c>
      <c r="I404" t="s">
        <v>2020</v>
      </c>
      <c r="J404" t="s">
        <v>2023</v>
      </c>
      <c r="K404">
        <v>14</v>
      </c>
      <c r="L404" t="s">
        <v>2034</v>
      </c>
      <c r="M404" t="s">
        <v>2036</v>
      </c>
      <c r="N404" t="str">
        <f t="shared" si="12"/>
        <v>Fail</v>
      </c>
      <c r="O404" t="str">
        <f t="shared" si="13"/>
        <v>UnderAge</v>
      </c>
      <c r="P404" t="str" cm="1">
        <f t="array" ref="P404">_xlfn.IFS(K404&gt;90,"Excellent",K404&gt;80,"Very Good",K404&gt;70,"Good",K404&gt;=50,"Poor",K404&lt;50,"Fail")</f>
        <v>Fail</v>
      </c>
    </row>
    <row r="405" spans="1:16" x14ac:dyDescent="0.25">
      <c r="A405" t="s">
        <v>414</v>
      </c>
      <c r="B405" t="s">
        <v>1413</v>
      </c>
      <c r="C405" t="s">
        <v>2097</v>
      </c>
      <c r="D405" t="s">
        <v>2552</v>
      </c>
      <c r="E405" t="s">
        <v>2007</v>
      </c>
      <c r="F405">
        <v>14</v>
      </c>
      <c r="G405" t="s">
        <v>2010</v>
      </c>
      <c r="H405" t="s">
        <v>2014</v>
      </c>
      <c r="I405" t="s">
        <v>2018</v>
      </c>
      <c r="J405" t="s">
        <v>2024</v>
      </c>
      <c r="K405">
        <v>26</v>
      </c>
      <c r="L405" t="s">
        <v>2031</v>
      </c>
      <c r="M405" t="s">
        <v>2036</v>
      </c>
      <c r="N405" t="str">
        <f t="shared" si="12"/>
        <v>Fail</v>
      </c>
      <c r="O405" t="str">
        <f t="shared" si="13"/>
        <v>UnderAge</v>
      </c>
      <c r="P405" t="str" cm="1">
        <f t="array" ref="P405">_xlfn.IFS(K405&gt;90,"Excellent",K405&gt;80,"Very Good",K405&gt;70,"Good",K405&gt;=50,"Poor",K405&lt;50,"Fail")</f>
        <v>Fail</v>
      </c>
    </row>
    <row r="406" spans="1:16" x14ac:dyDescent="0.25">
      <c r="A406" t="s">
        <v>415</v>
      </c>
      <c r="B406" t="s">
        <v>1414</v>
      </c>
      <c r="C406" t="s">
        <v>2191</v>
      </c>
      <c r="D406" t="s">
        <v>2642</v>
      </c>
      <c r="E406" t="s">
        <v>2007</v>
      </c>
      <c r="F406">
        <v>18</v>
      </c>
      <c r="G406" t="s">
        <v>2013</v>
      </c>
      <c r="H406" t="s">
        <v>2016</v>
      </c>
      <c r="I406" t="s">
        <v>2020</v>
      </c>
      <c r="J406" t="s">
        <v>2024</v>
      </c>
      <c r="K406">
        <v>84</v>
      </c>
      <c r="L406" t="s">
        <v>2025</v>
      </c>
      <c r="M406" t="s">
        <v>2035</v>
      </c>
      <c r="N406" t="str">
        <f t="shared" si="12"/>
        <v>Pass</v>
      </c>
      <c r="O406" t="str">
        <f t="shared" si="13"/>
        <v>Adult</v>
      </c>
      <c r="P406" t="str" cm="1">
        <f t="array" ref="P406">_xlfn.IFS(K406&gt;90,"Excellent",K406&gt;80,"Very Good",K406&gt;70,"Good",K406&gt;=50,"Poor",K406&lt;50,"Fail")</f>
        <v>Very Good</v>
      </c>
    </row>
    <row r="407" spans="1:16" x14ac:dyDescent="0.25">
      <c r="A407" t="s">
        <v>416</v>
      </c>
      <c r="B407" t="s">
        <v>1415</v>
      </c>
      <c r="C407" t="s">
        <v>2198</v>
      </c>
      <c r="D407" t="s">
        <v>2459</v>
      </c>
      <c r="E407" t="s">
        <v>2007</v>
      </c>
      <c r="F407">
        <v>17</v>
      </c>
      <c r="G407" t="s">
        <v>2010</v>
      </c>
      <c r="H407" t="s">
        <v>2014</v>
      </c>
      <c r="I407" t="s">
        <v>2020</v>
      </c>
      <c r="J407" t="s">
        <v>2023</v>
      </c>
      <c r="K407">
        <v>38</v>
      </c>
      <c r="L407" t="s">
        <v>2032</v>
      </c>
      <c r="M407" t="s">
        <v>2036</v>
      </c>
      <c r="N407" t="str">
        <f t="shared" si="12"/>
        <v>Fail</v>
      </c>
      <c r="O407" t="str">
        <f t="shared" si="13"/>
        <v>UnderAge</v>
      </c>
      <c r="P407" t="str" cm="1">
        <f t="array" ref="P407">_xlfn.IFS(K407&gt;90,"Excellent",K407&gt;80,"Very Good",K407&gt;70,"Good",K407&gt;=50,"Poor",K407&lt;50,"Fail")</f>
        <v>Fail</v>
      </c>
    </row>
    <row r="408" spans="1:16" x14ac:dyDescent="0.25">
      <c r="A408" t="s">
        <v>417</v>
      </c>
      <c r="B408" t="s">
        <v>1416</v>
      </c>
      <c r="C408" t="s">
        <v>2282</v>
      </c>
      <c r="D408" t="s">
        <v>2643</v>
      </c>
      <c r="E408" t="s">
        <v>2007</v>
      </c>
      <c r="F408">
        <v>14</v>
      </c>
      <c r="G408" t="s">
        <v>2011</v>
      </c>
      <c r="H408" t="s">
        <v>2014</v>
      </c>
      <c r="I408" t="s">
        <v>2021</v>
      </c>
      <c r="J408" t="s">
        <v>2024</v>
      </c>
      <c r="K408">
        <v>24</v>
      </c>
      <c r="L408" t="s">
        <v>2031</v>
      </c>
      <c r="M408" t="s">
        <v>2036</v>
      </c>
      <c r="N408" t="str">
        <f t="shared" si="12"/>
        <v>Fail</v>
      </c>
      <c r="O408" t="str">
        <f t="shared" si="13"/>
        <v>UnderAge</v>
      </c>
      <c r="P408" t="str" cm="1">
        <f t="array" ref="P408">_xlfn.IFS(K408&gt;90,"Excellent",K408&gt;80,"Very Good",K408&gt;70,"Good",K408&gt;=50,"Poor",K408&lt;50,"Fail")</f>
        <v>Fail</v>
      </c>
    </row>
    <row r="409" spans="1:16" x14ac:dyDescent="0.25">
      <c r="A409" t="s">
        <v>418</v>
      </c>
      <c r="B409" t="s">
        <v>1417</v>
      </c>
      <c r="C409" t="s">
        <v>2207</v>
      </c>
      <c r="D409" t="s">
        <v>2644</v>
      </c>
      <c r="E409" t="s">
        <v>2008</v>
      </c>
      <c r="F409">
        <v>18</v>
      </c>
      <c r="G409" t="s">
        <v>2011</v>
      </c>
      <c r="H409" t="s">
        <v>2015</v>
      </c>
      <c r="I409" t="s">
        <v>2018</v>
      </c>
      <c r="J409" t="s">
        <v>2023</v>
      </c>
      <c r="K409">
        <v>85</v>
      </c>
      <c r="L409" t="s">
        <v>2034</v>
      </c>
      <c r="M409" t="s">
        <v>2035</v>
      </c>
      <c r="N409" t="str">
        <f t="shared" si="12"/>
        <v>Pass</v>
      </c>
      <c r="O409" t="str">
        <f t="shared" si="13"/>
        <v>Adult</v>
      </c>
      <c r="P409" t="str" cm="1">
        <f t="array" ref="P409">_xlfn.IFS(K409&gt;90,"Excellent",K409&gt;80,"Very Good",K409&gt;70,"Good",K409&gt;=50,"Poor",K409&lt;50,"Fail")</f>
        <v>Very Good</v>
      </c>
    </row>
    <row r="410" spans="1:16" x14ac:dyDescent="0.25">
      <c r="A410" t="s">
        <v>419</v>
      </c>
      <c r="B410" t="s">
        <v>1418</v>
      </c>
      <c r="C410" t="s">
        <v>2283</v>
      </c>
      <c r="D410" t="s">
        <v>2645</v>
      </c>
      <c r="E410" t="s">
        <v>2008</v>
      </c>
      <c r="F410">
        <v>17</v>
      </c>
      <c r="G410" t="s">
        <v>2012</v>
      </c>
      <c r="H410" t="s">
        <v>2017</v>
      </c>
      <c r="I410" t="s">
        <v>2019</v>
      </c>
      <c r="J410" t="s">
        <v>2024</v>
      </c>
      <c r="K410">
        <v>38</v>
      </c>
      <c r="L410" t="s">
        <v>2032</v>
      </c>
      <c r="M410" t="s">
        <v>2036</v>
      </c>
      <c r="N410" t="str">
        <f t="shared" si="12"/>
        <v>Fail</v>
      </c>
      <c r="O410" t="str">
        <f t="shared" si="13"/>
        <v>UnderAge</v>
      </c>
      <c r="P410" t="str" cm="1">
        <f t="array" ref="P410">_xlfn.IFS(K410&gt;90,"Excellent",K410&gt;80,"Very Good",K410&gt;70,"Good",K410&gt;=50,"Poor",K410&lt;50,"Fail")</f>
        <v>Fail</v>
      </c>
    </row>
    <row r="411" spans="1:16" x14ac:dyDescent="0.25">
      <c r="A411" t="s">
        <v>420</v>
      </c>
      <c r="B411" t="s">
        <v>1419</v>
      </c>
      <c r="C411" t="s">
        <v>2211</v>
      </c>
      <c r="D411" t="s">
        <v>2489</v>
      </c>
      <c r="E411" t="s">
        <v>2007</v>
      </c>
      <c r="F411">
        <v>18</v>
      </c>
      <c r="G411" t="s">
        <v>2012</v>
      </c>
      <c r="H411" t="s">
        <v>2016</v>
      </c>
      <c r="I411" t="s">
        <v>2019</v>
      </c>
      <c r="J411" t="s">
        <v>2023</v>
      </c>
      <c r="K411">
        <v>59</v>
      </c>
      <c r="L411" t="s">
        <v>2033</v>
      </c>
      <c r="M411" t="s">
        <v>2035</v>
      </c>
      <c r="N411" t="str">
        <f t="shared" si="12"/>
        <v>Pass</v>
      </c>
      <c r="O411" t="str">
        <f t="shared" si="13"/>
        <v>Adult</v>
      </c>
      <c r="P411" t="str" cm="1">
        <f t="array" ref="P411">_xlfn.IFS(K411&gt;90,"Excellent",K411&gt;80,"Very Good",K411&gt;70,"Good",K411&gt;=50,"Poor",K411&lt;50,"Fail")</f>
        <v>Poor</v>
      </c>
    </row>
    <row r="412" spans="1:16" x14ac:dyDescent="0.25">
      <c r="A412" t="s">
        <v>421</v>
      </c>
      <c r="B412" t="s">
        <v>1420</v>
      </c>
      <c r="C412" t="s">
        <v>2169</v>
      </c>
      <c r="D412" t="s">
        <v>2453</v>
      </c>
      <c r="E412" t="s">
        <v>2007</v>
      </c>
      <c r="F412">
        <v>15</v>
      </c>
      <c r="G412" t="s">
        <v>2013</v>
      </c>
      <c r="H412" t="s">
        <v>2014</v>
      </c>
      <c r="I412" t="s">
        <v>2018</v>
      </c>
      <c r="J412" t="s">
        <v>2023</v>
      </c>
      <c r="K412">
        <v>98</v>
      </c>
      <c r="L412" t="s">
        <v>2031</v>
      </c>
      <c r="M412" t="s">
        <v>2035</v>
      </c>
      <c r="N412" t="str">
        <f t="shared" si="12"/>
        <v>Pass</v>
      </c>
      <c r="O412" t="str">
        <f t="shared" si="13"/>
        <v>UnderAge</v>
      </c>
      <c r="P412" t="str" cm="1">
        <f t="array" ref="P412">_xlfn.IFS(K412&gt;90,"Excellent",K412&gt;80,"Very Good",K412&gt;70,"Good",K412&gt;=50,"Poor",K412&lt;50,"Fail")</f>
        <v>Excellent</v>
      </c>
    </row>
    <row r="413" spans="1:16" x14ac:dyDescent="0.25">
      <c r="A413" t="s">
        <v>422</v>
      </c>
      <c r="B413" t="s">
        <v>1421</v>
      </c>
      <c r="C413" t="s">
        <v>2202</v>
      </c>
      <c r="D413" t="s">
        <v>2646</v>
      </c>
      <c r="E413" t="s">
        <v>2007</v>
      </c>
      <c r="F413">
        <v>15</v>
      </c>
      <c r="G413" t="s">
        <v>2013</v>
      </c>
      <c r="H413" t="s">
        <v>2016</v>
      </c>
      <c r="I413" t="s">
        <v>2020</v>
      </c>
      <c r="J413" t="s">
        <v>2024</v>
      </c>
      <c r="K413">
        <v>99</v>
      </c>
      <c r="L413" t="s">
        <v>2034</v>
      </c>
      <c r="M413" t="s">
        <v>2035</v>
      </c>
      <c r="N413" t="str">
        <f t="shared" si="12"/>
        <v>Pass</v>
      </c>
      <c r="O413" t="str">
        <f t="shared" si="13"/>
        <v>UnderAge</v>
      </c>
      <c r="P413" t="str" cm="1">
        <f t="array" ref="P413">_xlfn.IFS(K413&gt;90,"Excellent",K413&gt;80,"Very Good",K413&gt;70,"Good",K413&gt;=50,"Poor",K413&lt;50,"Fail")</f>
        <v>Excellent</v>
      </c>
    </row>
    <row r="414" spans="1:16" x14ac:dyDescent="0.25">
      <c r="A414" t="s">
        <v>423</v>
      </c>
      <c r="B414" t="s">
        <v>1422</v>
      </c>
      <c r="C414" t="s">
        <v>2139</v>
      </c>
      <c r="D414" t="s">
        <v>2647</v>
      </c>
      <c r="E414" t="s">
        <v>2008</v>
      </c>
      <c r="F414">
        <v>15</v>
      </c>
      <c r="G414" t="s">
        <v>2012</v>
      </c>
      <c r="H414" t="s">
        <v>2015</v>
      </c>
      <c r="I414" t="s">
        <v>2019</v>
      </c>
      <c r="J414" t="s">
        <v>2023</v>
      </c>
      <c r="K414">
        <v>39</v>
      </c>
      <c r="L414" t="s">
        <v>2034</v>
      </c>
      <c r="M414" t="s">
        <v>2036</v>
      </c>
      <c r="N414" t="str">
        <f t="shared" si="12"/>
        <v>Fail</v>
      </c>
      <c r="O414" t="str">
        <f t="shared" si="13"/>
        <v>UnderAge</v>
      </c>
      <c r="P414" t="str" cm="1">
        <f t="array" ref="P414">_xlfn.IFS(K414&gt;90,"Excellent",K414&gt;80,"Very Good",K414&gt;70,"Good",K414&gt;=50,"Poor",K414&lt;50,"Fail")</f>
        <v>Fail</v>
      </c>
    </row>
    <row r="415" spans="1:16" x14ac:dyDescent="0.25">
      <c r="A415" t="s">
        <v>424</v>
      </c>
      <c r="B415" t="s">
        <v>1423</v>
      </c>
      <c r="C415" t="s">
        <v>2141</v>
      </c>
      <c r="D415" t="s">
        <v>2648</v>
      </c>
      <c r="E415" t="s">
        <v>2008</v>
      </c>
      <c r="F415">
        <v>17</v>
      </c>
      <c r="G415" t="s">
        <v>2009</v>
      </c>
      <c r="H415" t="s">
        <v>2016</v>
      </c>
      <c r="I415" t="s">
        <v>2018</v>
      </c>
      <c r="J415" t="s">
        <v>2024</v>
      </c>
      <c r="K415">
        <v>9</v>
      </c>
      <c r="L415" t="s">
        <v>2033</v>
      </c>
      <c r="M415" t="s">
        <v>2036</v>
      </c>
      <c r="N415" t="str">
        <f t="shared" si="12"/>
        <v>Fail</v>
      </c>
      <c r="O415" t="str">
        <f t="shared" si="13"/>
        <v>UnderAge</v>
      </c>
      <c r="P415" t="str" cm="1">
        <f t="array" ref="P415">_xlfn.IFS(K415&gt;90,"Excellent",K415&gt;80,"Very Good",K415&gt;70,"Good",K415&gt;=50,"Poor",K415&lt;50,"Fail")</f>
        <v>Fail</v>
      </c>
    </row>
    <row r="416" spans="1:16" x14ac:dyDescent="0.25">
      <c r="A416" t="s">
        <v>425</v>
      </c>
      <c r="B416" t="s">
        <v>1424</v>
      </c>
      <c r="C416" t="s">
        <v>2076</v>
      </c>
      <c r="D416" t="s">
        <v>2604</v>
      </c>
      <c r="E416" t="s">
        <v>2008</v>
      </c>
      <c r="F416">
        <v>18</v>
      </c>
      <c r="G416" t="s">
        <v>2013</v>
      </c>
      <c r="H416" t="s">
        <v>2015</v>
      </c>
      <c r="I416" t="s">
        <v>2019</v>
      </c>
      <c r="J416" t="s">
        <v>2023</v>
      </c>
      <c r="K416">
        <v>68</v>
      </c>
      <c r="L416" t="s">
        <v>2034</v>
      </c>
      <c r="M416" t="s">
        <v>2035</v>
      </c>
      <c r="N416" t="str">
        <f t="shared" si="12"/>
        <v>Pass</v>
      </c>
      <c r="O416" t="str">
        <f t="shared" si="13"/>
        <v>Adult</v>
      </c>
      <c r="P416" t="str" cm="1">
        <f t="array" ref="P416">_xlfn.IFS(K416&gt;90,"Excellent",K416&gt;80,"Very Good",K416&gt;70,"Good",K416&gt;=50,"Poor",K416&lt;50,"Fail")</f>
        <v>Poor</v>
      </c>
    </row>
    <row r="417" spans="1:16" x14ac:dyDescent="0.25">
      <c r="A417" t="s">
        <v>426</v>
      </c>
      <c r="B417" t="s">
        <v>1425</v>
      </c>
      <c r="C417" t="s">
        <v>2284</v>
      </c>
      <c r="D417" t="s">
        <v>2440</v>
      </c>
      <c r="E417" t="s">
        <v>2008</v>
      </c>
      <c r="F417">
        <v>18</v>
      </c>
      <c r="G417" t="s">
        <v>2010</v>
      </c>
      <c r="H417" t="s">
        <v>2017</v>
      </c>
      <c r="I417" t="s">
        <v>2018</v>
      </c>
      <c r="J417" t="s">
        <v>2024</v>
      </c>
      <c r="K417">
        <v>74</v>
      </c>
      <c r="L417" t="s">
        <v>2033</v>
      </c>
      <c r="M417" t="s">
        <v>2035</v>
      </c>
      <c r="N417" t="str">
        <f t="shared" si="12"/>
        <v>Pass</v>
      </c>
      <c r="O417" t="str">
        <f t="shared" si="13"/>
        <v>Adult</v>
      </c>
      <c r="P417" t="str" cm="1">
        <f t="array" ref="P417">_xlfn.IFS(K417&gt;90,"Excellent",K417&gt;80,"Very Good",K417&gt;70,"Good",K417&gt;=50,"Poor",K417&lt;50,"Fail")</f>
        <v>Good</v>
      </c>
    </row>
    <row r="418" spans="1:16" x14ac:dyDescent="0.25">
      <c r="A418" t="s">
        <v>427</v>
      </c>
      <c r="B418" t="s">
        <v>1426</v>
      </c>
      <c r="C418" t="s">
        <v>2285</v>
      </c>
      <c r="D418" t="s">
        <v>2649</v>
      </c>
      <c r="E418" t="s">
        <v>2007</v>
      </c>
      <c r="F418">
        <v>15</v>
      </c>
      <c r="G418" t="s">
        <v>2010</v>
      </c>
      <c r="H418" t="s">
        <v>2016</v>
      </c>
      <c r="I418" t="s">
        <v>2018</v>
      </c>
      <c r="J418" t="s">
        <v>2024</v>
      </c>
      <c r="K418">
        <v>90</v>
      </c>
      <c r="L418" t="s">
        <v>2033</v>
      </c>
      <c r="M418" t="s">
        <v>2035</v>
      </c>
      <c r="N418" t="str">
        <f t="shared" si="12"/>
        <v>Pass</v>
      </c>
      <c r="O418" t="str">
        <f t="shared" si="13"/>
        <v>UnderAge</v>
      </c>
      <c r="P418" t="str" cm="1">
        <f t="array" ref="P418">_xlfn.IFS(K418&gt;90,"Excellent",K418&gt;80,"Very Good",K418&gt;70,"Good",K418&gt;=50,"Poor",K418&lt;50,"Fail")</f>
        <v>Very Good</v>
      </c>
    </row>
    <row r="419" spans="1:16" x14ac:dyDescent="0.25">
      <c r="A419" t="s">
        <v>428</v>
      </c>
      <c r="B419" t="s">
        <v>1427</v>
      </c>
      <c r="C419" t="s">
        <v>2095</v>
      </c>
      <c r="D419" t="s">
        <v>2251</v>
      </c>
      <c r="E419" t="s">
        <v>2007</v>
      </c>
      <c r="F419">
        <v>16</v>
      </c>
      <c r="G419" t="s">
        <v>2010</v>
      </c>
      <c r="H419" t="s">
        <v>2014</v>
      </c>
      <c r="I419" t="s">
        <v>2020</v>
      </c>
      <c r="J419" t="s">
        <v>2024</v>
      </c>
      <c r="K419">
        <v>44</v>
      </c>
      <c r="L419" t="s">
        <v>2031</v>
      </c>
      <c r="M419" t="s">
        <v>2036</v>
      </c>
      <c r="N419" t="str">
        <f t="shared" si="12"/>
        <v>Fail</v>
      </c>
      <c r="O419" t="str">
        <f t="shared" si="13"/>
        <v>UnderAge</v>
      </c>
      <c r="P419" t="str" cm="1">
        <f t="array" ref="P419">_xlfn.IFS(K419&gt;90,"Excellent",K419&gt;80,"Very Good",K419&gt;70,"Good",K419&gt;=50,"Poor",K419&lt;50,"Fail")</f>
        <v>Fail</v>
      </c>
    </row>
    <row r="420" spans="1:16" x14ac:dyDescent="0.25">
      <c r="A420" t="s">
        <v>429</v>
      </c>
      <c r="B420" t="s">
        <v>1428</v>
      </c>
      <c r="C420" t="s">
        <v>2188</v>
      </c>
      <c r="D420" t="s">
        <v>2650</v>
      </c>
      <c r="E420" t="s">
        <v>2007</v>
      </c>
      <c r="F420">
        <v>18</v>
      </c>
      <c r="G420" t="s">
        <v>2011</v>
      </c>
      <c r="H420" t="s">
        <v>2015</v>
      </c>
      <c r="I420" t="s">
        <v>2022</v>
      </c>
      <c r="J420" t="s">
        <v>2024</v>
      </c>
      <c r="K420">
        <v>54</v>
      </c>
      <c r="L420" t="s">
        <v>2027</v>
      </c>
      <c r="M420" t="s">
        <v>2035</v>
      </c>
      <c r="N420" t="str">
        <f t="shared" si="12"/>
        <v>Pass</v>
      </c>
      <c r="O420" t="str">
        <f t="shared" si="13"/>
        <v>Adult</v>
      </c>
      <c r="P420" t="str" cm="1">
        <f t="array" ref="P420">_xlfn.IFS(K420&gt;90,"Excellent",K420&gt;80,"Very Good",K420&gt;70,"Good",K420&gt;=50,"Poor",K420&lt;50,"Fail")</f>
        <v>Poor</v>
      </c>
    </row>
    <row r="421" spans="1:16" x14ac:dyDescent="0.25">
      <c r="A421" t="s">
        <v>430</v>
      </c>
      <c r="B421" t="s">
        <v>1429</v>
      </c>
      <c r="C421" t="s">
        <v>2250</v>
      </c>
      <c r="D421" t="s">
        <v>2417</v>
      </c>
      <c r="E421" t="s">
        <v>2008</v>
      </c>
      <c r="F421">
        <v>18</v>
      </c>
      <c r="G421" t="s">
        <v>2013</v>
      </c>
      <c r="H421" t="s">
        <v>2014</v>
      </c>
      <c r="I421" t="s">
        <v>2018</v>
      </c>
      <c r="J421" t="s">
        <v>2023</v>
      </c>
      <c r="K421">
        <v>74</v>
      </c>
      <c r="L421" t="s">
        <v>2027</v>
      </c>
      <c r="M421" t="s">
        <v>2035</v>
      </c>
      <c r="N421" t="str">
        <f t="shared" si="12"/>
        <v>Pass</v>
      </c>
      <c r="O421" t="str">
        <f t="shared" si="13"/>
        <v>Adult</v>
      </c>
      <c r="P421" t="str" cm="1">
        <f t="array" ref="P421">_xlfn.IFS(K421&gt;90,"Excellent",K421&gt;80,"Very Good",K421&gt;70,"Good",K421&gt;=50,"Poor",K421&lt;50,"Fail")</f>
        <v>Good</v>
      </c>
    </row>
    <row r="422" spans="1:16" x14ac:dyDescent="0.25">
      <c r="A422" t="s">
        <v>431</v>
      </c>
      <c r="B422" t="s">
        <v>1430</v>
      </c>
      <c r="C422" t="s">
        <v>2121</v>
      </c>
      <c r="D422" t="s">
        <v>2573</v>
      </c>
      <c r="E422" t="s">
        <v>2007</v>
      </c>
      <c r="F422">
        <v>16</v>
      </c>
      <c r="G422" t="s">
        <v>2010</v>
      </c>
      <c r="H422" t="s">
        <v>2016</v>
      </c>
      <c r="I422" t="s">
        <v>2021</v>
      </c>
      <c r="J422" t="s">
        <v>2024</v>
      </c>
      <c r="K422">
        <v>0</v>
      </c>
      <c r="L422" t="s">
        <v>2026</v>
      </c>
      <c r="M422" t="s">
        <v>2036</v>
      </c>
      <c r="N422" t="str">
        <f t="shared" si="12"/>
        <v>Fail</v>
      </c>
      <c r="O422" t="str">
        <f t="shared" si="13"/>
        <v>UnderAge</v>
      </c>
      <c r="P422" t="str" cm="1">
        <f t="array" ref="P422">_xlfn.IFS(K422&gt;90,"Excellent",K422&gt;80,"Very Good",K422&gt;70,"Good",K422&gt;=50,"Poor",K422&lt;50,"Fail")</f>
        <v>Fail</v>
      </c>
    </row>
    <row r="423" spans="1:16" x14ac:dyDescent="0.25">
      <c r="A423" t="s">
        <v>432</v>
      </c>
      <c r="B423" t="s">
        <v>1431</v>
      </c>
      <c r="C423" t="s">
        <v>2153</v>
      </c>
      <c r="D423" t="s">
        <v>2651</v>
      </c>
      <c r="E423" t="s">
        <v>2008</v>
      </c>
      <c r="F423">
        <v>17</v>
      </c>
      <c r="G423" t="s">
        <v>2010</v>
      </c>
      <c r="H423" t="s">
        <v>2015</v>
      </c>
      <c r="I423" t="s">
        <v>2018</v>
      </c>
      <c r="J423" t="s">
        <v>2023</v>
      </c>
      <c r="K423">
        <v>19</v>
      </c>
      <c r="L423" t="s">
        <v>2025</v>
      </c>
      <c r="M423" t="s">
        <v>2036</v>
      </c>
      <c r="N423" t="str">
        <f t="shared" si="12"/>
        <v>Fail</v>
      </c>
      <c r="O423" t="str">
        <f t="shared" si="13"/>
        <v>UnderAge</v>
      </c>
      <c r="P423" t="str" cm="1">
        <f t="array" ref="P423">_xlfn.IFS(K423&gt;90,"Excellent",K423&gt;80,"Very Good",K423&gt;70,"Good",K423&gt;=50,"Poor",K423&lt;50,"Fail")</f>
        <v>Fail</v>
      </c>
    </row>
    <row r="424" spans="1:16" x14ac:dyDescent="0.25">
      <c r="A424" t="s">
        <v>433</v>
      </c>
      <c r="B424" t="s">
        <v>1432</v>
      </c>
      <c r="C424" t="s">
        <v>2202</v>
      </c>
      <c r="D424" t="s">
        <v>2652</v>
      </c>
      <c r="E424" t="s">
        <v>2007</v>
      </c>
      <c r="F424">
        <v>17</v>
      </c>
      <c r="G424" t="s">
        <v>2010</v>
      </c>
      <c r="H424" t="s">
        <v>2015</v>
      </c>
      <c r="I424" t="s">
        <v>2018</v>
      </c>
      <c r="J424" t="s">
        <v>2024</v>
      </c>
      <c r="K424">
        <v>100</v>
      </c>
      <c r="L424" t="s">
        <v>2032</v>
      </c>
      <c r="M424" t="s">
        <v>2035</v>
      </c>
      <c r="N424" t="str">
        <f t="shared" si="12"/>
        <v>Pass</v>
      </c>
      <c r="O424" t="str">
        <f t="shared" si="13"/>
        <v>UnderAge</v>
      </c>
      <c r="P424" t="str" cm="1">
        <f t="array" ref="P424">_xlfn.IFS(K424&gt;90,"Excellent",K424&gt;80,"Very Good",K424&gt;70,"Good",K424&gt;=50,"Poor",K424&lt;50,"Fail")</f>
        <v>Excellent</v>
      </c>
    </row>
    <row r="425" spans="1:16" x14ac:dyDescent="0.25">
      <c r="A425" t="s">
        <v>434</v>
      </c>
      <c r="B425" t="s">
        <v>1433</v>
      </c>
      <c r="C425" t="s">
        <v>2078</v>
      </c>
      <c r="D425" t="s">
        <v>2653</v>
      </c>
      <c r="E425" t="s">
        <v>2007</v>
      </c>
      <c r="F425">
        <v>18</v>
      </c>
      <c r="G425" t="s">
        <v>2009</v>
      </c>
      <c r="H425" t="s">
        <v>2015</v>
      </c>
      <c r="I425" t="s">
        <v>2022</v>
      </c>
      <c r="J425" t="s">
        <v>2023</v>
      </c>
      <c r="K425">
        <v>85</v>
      </c>
      <c r="L425" t="s">
        <v>2033</v>
      </c>
      <c r="M425" t="s">
        <v>2035</v>
      </c>
      <c r="N425" t="str">
        <f t="shared" si="12"/>
        <v>Pass</v>
      </c>
      <c r="O425" t="str">
        <f t="shared" si="13"/>
        <v>Adult</v>
      </c>
      <c r="P425" t="str" cm="1">
        <f t="array" ref="P425">_xlfn.IFS(K425&gt;90,"Excellent",K425&gt;80,"Very Good",K425&gt;70,"Good",K425&gt;=50,"Poor",K425&lt;50,"Fail")</f>
        <v>Very Good</v>
      </c>
    </row>
    <row r="426" spans="1:16" x14ac:dyDescent="0.25">
      <c r="A426" t="s">
        <v>435</v>
      </c>
      <c r="B426" t="s">
        <v>1434</v>
      </c>
      <c r="C426" t="s">
        <v>2286</v>
      </c>
      <c r="D426" t="s">
        <v>2654</v>
      </c>
      <c r="E426" t="s">
        <v>2007</v>
      </c>
      <c r="F426">
        <v>15</v>
      </c>
      <c r="G426" t="s">
        <v>2010</v>
      </c>
      <c r="H426" t="s">
        <v>2014</v>
      </c>
      <c r="I426" t="s">
        <v>2019</v>
      </c>
      <c r="J426" t="s">
        <v>2023</v>
      </c>
      <c r="K426">
        <v>10</v>
      </c>
      <c r="L426" t="s">
        <v>2026</v>
      </c>
      <c r="M426" t="s">
        <v>2036</v>
      </c>
      <c r="N426" t="str">
        <f t="shared" si="12"/>
        <v>Fail</v>
      </c>
      <c r="O426" t="str">
        <f t="shared" si="13"/>
        <v>UnderAge</v>
      </c>
      <c r="P426" t="str" cm="1">
        <f t="array" ref="P426">_xlfn.IFS(K426&gt;90,"Excellent",K426&gt;80,"Very Good",K426&gt;70,"Good",K426&gt;=50,"Poor",K426&lt;50,"Fail")</f>
        <v>Fail</v>
      </c>
    </row>
    <row r="427" spans="1:16" x14ac:dyDescent="0.25">
      <c r="A427" t="s">
        <v>436</v>
      </c>
      <c r="B427" t="s">
        <v>1435</v>
      </c>
      <c r="C427" t="s">
        <v>2208</v>
      </c>
      <c r="D427" t="s">
        <v>2426</v>
      </c>
      <c r="E427" t="s">
        <v>2008</v>
      </c>
      <c r="F427">
        <v>17</v>
      </c>
      <c r="G427" t="s">
        <v>2011</v>
      </c>
      <c r="H427" t="s">
        <v>2017</v>
      </c>
      <c r="I427" t="s">
        <v>2021</v>
      </c>
      <c r="J427" t="s">
        <v>2024</v>
      </c>
      <c r="K427">
        <v>21</v>
      </c>
      <c r="L427" t="s">
        <v>2029</v>
      </c>
      <c r="M427" t="s">
        <v>2036</v>
      </c>
      <c r="N427" t="str">
        <f t="shared" si="12"/>
        <v>Fail</v>
      </c>
      <c r="O427" t="str">
        <f t="shared" si="13"/>
        <v>UnderAge</v>
      </c>
      <c r="P427" t="str" cm="1">
        <f t="array" ref="P427">_xlfn.IFS(K427&gt;90,"Excellent",K427&gt;80,"Very Good",K427&gt;70,"Good",K427&gt;=50,"Poor",K427&lt;50,"Fail")</f>
        <v>Fail</v>
      </c>
    </row>
    <row r="428" spans="1:16" x14ac:dyDescent="0.25">
      <c r="A428" t="s">
        <v>437</v>
      </c>
      <c r="B428" t="s">
        <v>1436</v>
      </c>
      <c r="C428" t="s">
        <v>2287</v>
      </c>
      <c r="D428" t="s">
        <v>2655</v>
      </c>
      <c r="E428" t="s">
        <v>2007</v>
      </c>
      <c r="F428">
        <v>16</v>
      </c>
      <c r="G428" t="s">
        <v>2010</v>
      </c>
      <c r="H428" t="s">
        <v>2015</v>
      </c>
      <c r="I428" t="s">
        <v>2022</v>
      </c>
      <c r="J428" t="s">
        <v>2023</v>
      </c>
      <c r="K428">
        <v>47</v>
      </c>
      <c r="L428" t="s">
        <v>2027</v>
      </c>
      <c r="M428" t="s">
        <v>2036</v>
      </c>
      <c r="N428" t="str">
        <f t="shared" si="12"/>
        <v>Fail</v>
      </c>
      <c r="O428" t="str">
        <f t="shared" si="13"/>
        <v>UnderAge</v>
      </c>
      <c r="P428" t="str" cm="1">
        <f t="array" ref="P428">_xlfn.IFS(K428&gt;90,"Excellent",K428&gt;80,"Very Good",K428&gt;70,"Good",K428&gt;=50,"Poor",K428&lt;50,"Fail")</f>
        <v>Fail</v>
      </c>
    </row>
    <row r="429" spans="1:16" x14ac:dyDescent="0.25">
      <c r="A429" t="s">
        <v>438</v>
      </c>
      <c r="B429" t="s">
        <v>1437</v>
      </c>
      <c r="C429" t="s">
        <v>2202</v>
      </c>
      <c r="D429" t="s">
        <v>2429</v>
      </c>
      <c r="E429" t="s">
        <v>2007</v>
      </c>
      <c r="F429">
        <v>15</v>
      </c>
      <c r="G429" t="s">
        <v>2010</v>
      </c>
      <c r="H429" t="s">
        <v>2016</v>
      </c>
      <c r="I429" t="s">
        <v>2018</v>
      </c>
      <c r="J429" t="s">
        <v>2024</v>
      </c>
      <c r="K429">
        <v>30</v>
      </c>
      <c r="L429" t="s">
        <v>2030</v>
      </c>
      <c r="M429" t="s">
        <v>2036</v>
      </c>
      <c r="N429" t="str">
        <f t="shared" si="12"/>
        <v>Fail</v>
      </c>
      <c r="O429" t="str">
        <f t="shared" si="13"/>
        <v>UnderAge</v>
      </c>
      <c r="P429" t="str" cm="1">
        <f t="array" ref="P429">_xlfn.IFS(K429&gt;90,"Excellent",K429&gt;80,"Very Good",K429&gt;70,"Good",K429&gt;=50,"Poor",K429&lt;50,"Fail")</f>
        <v>Fail</v>
      </c>
    </row>
    <row r="430" spans="1:16" x14ac:dyDescent="0.25">
      <c r="A430" t="s">
        <v>439</v>
      </c>
      <c r="B430" t="s">
        <v>1438</v>
      </c>
      <c r="C430" t="s">
        <v>2088</v>
      </c>
      <c r="D430" t="s">
        <v>2535</v>
      </c>
      <c r="E430" t="s">
        <v>2008</v>
      </c>
      <c r="F430">
        <v>15</v>
      </c>
      <c r="G430" t="s">
        <v>2009</v>
      </c>
      <c r="H430" t="s">
        <v>2017</v>
      </c>
      <c r="I430" t="s">
        <v>2018</v>
      </c>
      <c r="J430" t="s">
        <v>2024</v>
      </c>
      <c r="K430">
        <v>85</v>
      </c>
      <c r="L430" t="s">
        <v>2031</v>
      </c>
      <c r="M430" t="s">
        <v>2035</v>
      </c>
      <c r="N430" t="str">
        <f t="shared" si="12"/>
        <v>Pass</v>
      </c>
      <c r="O430" t="str">
        <f t="shared" si="13"/>
        <v>UnderAge</v>
      </c>
      <c r="P430" t="str" cm="1">
        <f t="array" ref="P430">_xlfn.IFS(K430&gt;90,"Excellent",K430&gt;80,"Very Good",K430&gt;70,"Good",K430&gt;=50,"Poor",K430&lt;50,"Fail")</f>
        <v>Very Good</v>
      </c>
    </row>
    <row r="431" spans="1:16" x14ac:dyDescent="0.25">
      <c r="A431" t="s">
        <v>440</v>
      </c>
      <c r="B431" t="s">
        <v>1439</v>
      </c>
      <c r="C431" t="s">
        <v>2071</v>
      </c>
      <c r="D431" t="s">
        <v>2656</v>
      </c>
      <c r="E431" t="s">
        <v>2008</v>
      </c>
      <c r="F431">
        <v>16</v>
      </c>
      <c r="G431" t="s">
        <v>2013</v>
      </c>
      <c r="H431" t="s">
        <v>2017</v>
      </c>
      <c r="I431" t="s">
        <v>2022</v>
      </c>
      <c r="J431" t="s">
        <v>2024</v>
      </c>
      <c r="K431">
        <v>13</v>
      </c>
      <c r="L431" t="s">
        <v>2025</v>
      </c>
      <c r="M431" t="s">
        <v>2036</v>
      </c>
      <c r="N431" t="str">
        <f t="shared" si="12"/>
        <v>Fail</v>
      </c>
      <c r="O431" t="str">
        <f t="shared" si="13"/>
        <v>UnderAge</v>
      </c>
      <c r="P431" t="str" cm="1">
        <f t="array" ref="P431">_xlfn.IFS(K431&gt;90,"Excellent",K431&gt;80,"Very Good",K431&gt;70,"Good",K431&gt;=50,"Poor",K431&lt;50,"Fail")</f>
        <v>Fail</v>
      </c>
    </row>
    <row r="432" spans="1:16" x14ac:dyDescent="0.25">
      <c r="A432" t="s">
        <v>441</v>
      </c>
      <c r="B432" t="s">
        <v>1440</v>
      </c>
      <c r="C432" t="s">
        <v>2151</v>
      </c>
      <c r="D432" t="s">
        <v>2657</v>
      </c>
      <c r="E432" t="s">
        <v>2007</v>
      </c>
      <c r="F432">
        <v>18</v>
      </c>
      <c r="G432" t="s">
        <v>2013</v>
      </c>
      <c r="H432" t="s">
        <v>2014</v>
      </c>
      <c r="I432" t="s">
        <v>2018</v>
      </c>
      <c r="J432" t="s">
        <v>2023</v>
      </c>
      <c r="K432">
        <v>13</v>
      </c>
      <c r="L432" t="s">
        <v>2031</v>
      </c>
      <c r="M432" t="s">
        <v>2036</v>
      </c>
      <c r="N432" t="str">
        <f t="shared" si="12"/>
        <v>Fail</v>
      </c>
      <c r="O432" t="str">
        <f t="shared" si="13"/>
        <v>Adult</v>
      </c>
      <c r="P432" t="str" cm="1">
        <f t="array" ref="P432">_xlfn.IFS(K432&gt;90,"Excellent",K432&gt;80,"Very Good",K432&gt;70,"Good",K432&gt;=50,"Poor",K432&lt;50,"Fail")</f>
        <v>Fail</v>
      </c>
    </row>
    <row r="433" spans="1:16" x14ac:dyDescent="0.25">
      <c r="A433" t="s">
        <v>442</v>
      </c>
      <c r="B433" t="s">
        <v>1441</v>
      </c>
      <c r="C433" t="s">
        <v>2168</v>
      </c>
      <c r="D433" t="s">
        <v>2049</v>
      </c>
      <c r="E433" t="s">
        <v>2008</v>
      </c>
      <c r="F433">
        <v>16</v>
      </c>
      <c r="G433" t="s">
        <v>2010</v>
      </c>
      <c r="H433" t="s">
        <v>2016</v>
      </c>
      <c r="I433" t="s">
        <v>2021</v>
      </c>
      <c r="J433" t="s">
        <v>2023</v>
      </c>
      <c r="K433">
        <v>4</v>
      </c>
      <c r="L433" t="s">
        <v>2030</v>
      </c>
      <c r="M433" t="s">
        <v>2036</v>
      </c>
      <c r="N433" t="str">
        <f t="shared" si="12"/>
        <v>Fail</v>
      </c>
      <c r="O433" t="str">
        <f t="shared" si="13"/>
        <v>UnderAge</v>
      </c>
      <c r="P433" t="str" cm="1">
        <f t="array" ref="P433">_xlfn.IFS(K433&gt;90,"Excellent",K433&gt;80,"Very Good",K433&gt;70,"Good",K433&gt;=50,"Poor",K433&lt;50,"Fail")</f>
        <v>Fail</v>
      </c>
    </row>
    <row r="434" spans="1:16" x14ac:dyDescent="0.25">
      <c r="A434" t="s">
        <v>443</v>
      </c>
      <c r="B434" t="s">
        <v>1442</v>
      </c>
      <c r="C434" t="s">
        <v>2288</v>
      </c>
      <c r="D434" t="s">
        <v>2426</v>
      </c>
      <c r="E434" t="s">
        <v>2008</v>
      </c>
      <c r="F434">
        <v>17</v>
      </c>
      <c r="G434" t="s">
        <v>2010</v>
      </c>
      <c r="H434" t="s">
        <v>2016</v>
      </c>
      <c r="I434" t="s">
        <v>2022</v>
      </c>
      <c r="J434" t="s">
        <v>2024</v>
      </c>
      <c r="K434">
        <v>51</v>
      </c>
      <c r="L434" t="s">
        <v>2027</v>
      </c>
      <c r="M434" t="s">
        <v>2035</v>
      </c>
      <c r="N434" t="str">
        <f t="shared" si="12"/>
        <v>Pass</v>
      </c>
      <c r="O434" t="str">
        <f t="shared" si="13"/>
        <v>UnderAge</v>
      </c>
      <c r="P434" t="str" cm="1">
        <f t="array" ref="P434">_xlfn.IFS(K434&gt;90,"Excellent",K434&gt;80,"Very Good",K434&gt;70,"Good",K434&gt;=50,"Poor",K434&lt;50,"Fail")</f>
        <v>Poor</v>
      </c>
    </row>
    <row r="435" spans="1:16" x14ac:dyDescent="0.25">
      <c r="A435" t="s">
        <v>444</v>
      </c>
      <c r="B435" t="s">
        <v>1443</v>
      </c>
      <c r="C435" t="s">
        <v>2198</v>
      </c>
      <c r="D435" t="s">
        <v>2658</v>
      </c>
      <c r="E435" t="s">
        <v>2008</v>
      </c>
      <c r="F435">
        <v>15</v>
      </c>
      <c r="G435" t="s">
        <v>2009</v>
      </c>
      <c r="H435" t="s">
        <v>2016</v>
      </c>
      <c r="I435" t="s">
        <v>2019</v>
      </c>
      <c r="J435" t="s">
        <v>2023</v>
      </c>
      <c r="K435">
        <v>42</v>
      </c>
      <c r="L435" t="s">
        <v>2030</v>
      </c>
      <c r="M435" t="s">
        <v>2036</v>
      </c>
      <c r="N435" t="str">
        <f t="shared" si="12"/>
        <v>Fail</v>
      </c>
      <c r="O435" t="str">
        <f t="shared" si="13"/>
        <v>UnderAge</v>
      </c>
      <c r="P435" t="str" cm="1">
        <f t="array" ref="P435">_xlfn.IFS(K435&gt;90,"Excellent",K435&gt;80,"Very Good",K435&gt;70,"Good",K435&gt;=50,"Poor",K435&lt;50,"Fail")</f>
        <v>Fail</v>
      </c>
    </row>
    <row r="436" spans="1:16" x14ac:dyDescent="0.25">
      <c r="A436" t="s">
        <v>445</v>
      </c>
      <c r="B436" t="s">
        <v>1444</v>
      </c>
      <c r="C436" t="s">
        <v>2156</v>
      </c>
      <c r="D436" t="s">
        <v>2659</v>
      </c>
      <c r="E436" t="s">
        <v>2008</v>
      </c>
      <c r="F436">
        <v>14</v>
      </c>
      <c r="G436" t="s">
        <v>2010</v>
      </c>
      <c r="H436" t="s">
        <v>2017</v>
      </c>
      <c r="I436" t="s">
        <v>2021</v>
      </c>
      <c r="J436" t="s">
        <v>2024</v>
      </c>
      <c r="K436">
        <v>10</v>
      </c>
      <c r="L436" t="s">
        <v>2028</v>
      </c>
      <c r="M436" t="s">
        <v>2036</v>
      </c>
      <c r="N436" t="str">
        <f t="shared" si="12"/>
        <v>Fail</v>
      </c>
      <c r="O436" t="str">
        <f t="shared" si="13"/>
        <v>UnderAge</v>
      </c>
      <c r="P436" t="str" cm="1">
        <f t="array" ref="P436">_xlfn.IFS(K436&gt;90,"Excellent",K436&gt;80,"Very Good",K436&gt;70,"Good",K436&gt;=50,"Poor",K436&lt;50,"Fail")</f>
        <v>Fail</v>
      </c>
    </row>
    <row r="437" spans="1:16" x14ac:dyDescent="0.25">
      <c r="A437" t="s">
        <v>446</v>
      </c>
      <c r="B437" t="s">
        <v>1445</v>
      </c>
      <c r="C437" t="s">
        <v>2224</v>
      </c>
      <c r="D437" t="s">
        <v>2455</v>
      </c>
      <c r="E437" t="s">
        <v>2007</v>
      </c>
      <c r="F437">
        <v>15</v>
      </c>
      <c r="G437" t="s">
        <v>2009</v>
      </c>
      <c r="H437" t="s">
        <v>2017</v>
      </c>
      <c r="I437" t="s">
        <v>2022</v>
      </c>
      <c r="J437" t="s">
        <v>2023</v>
      </c>
      <c r="K437">
        <v>51</v>
      </c>
      <c r="L437" t="s">
        <v>2026</v>
      </c>
      <c r="M437" t="s">
        <v>2035</v>
      </c>
      <c r="N437" t="str">
        <f t="shared" si="12"/>
        <v>Pass</v>
      </c>
      <c r="O437" t="str">
        <f t="shared" si="13"/>
        <v>UnderAge</v>
      </c>
      <c r="P437" t="str" cm="1">
        <f t="array" ref="P437">_xlfn.IFS(K437&gt;90,"Excellent",K437&gt;80,"Very Good",K437&gt;70,"Good",K437&gt;=50,"Poor",K437&lt;50,"Fail")</f>
        <v>Poor</v>
      </c>
    </row>
    <row r="438" spans="1:16" x14ac:dyDescent="0.25">
      <c r="A438" t="s">
        <v>447</v>
      </c>
      <c r="B438" t="s">
        <v>1446</v>
      </c>
      <c r="C438" t="s">
        <v>2275</v>
      </c>
      <c r="D438" t="s">
        <v>2660</v>
      </c>
      <c r="E438" t="s">
        <v>2008</v>
      </c>
      <c r="F438">
        <v>16</v>
      </c>
      <c r="G438" t="s">
        <v>2009</v>
      </c>
      <c r="H438" t="s">
        <v>2016</v>
      </c>
      <c r="I438" t="s">
        <v>2020</v>
      </c>
      <c r="J438" t="s">
        <v>2024</v>
      </c>
      <c r="K438">
        <v>9</v>
      </c>
      <c r="L438" t="s">
        <v>2026</v>
      </c>
      <c r="M438" t="s">
        <v>2036</v>
      </c>
      <c r="N438" t="str">
        <f t="shared" si="12"/>
        <v>Fail</v>
      </c>
      <c r="O438" t="str">
        <f t="shared" si="13"/>
        <v>UnderAge</v>
      </c>
      <c r="P438" t="str" cm="1">
        <f t="array" ref="P438">_xlfn.IFS(K438&gt;90,"Excellent",K438&gt;80,"Very Good",K438&gt;70,"Good",K438&gt;=50,"Poor",K438&lt;50,"Fail")</f>
        <v>Fail</v>
      </c>
    </row>
    <row r="439" spans="1:16" x14ac:dyDescent="0.25">
      <c r="A439" t="s">
        <v>448</v>
      </c>
      <c r="B439" t="s">
        <v>1447</v>
      </c>
      <c r="C439" t="s">
        <v>2289</v>
      </c>
      <c r="D439" t="s">
        <v>2572</v>
      </c>
      <c r="E439" t="s">
        <v>2008</v>
      </c>
      <c r="F439">
        <v>15</v>
      </c>
      <c r="G439" t="s">
        <v>2009</v>
      </c>
      <c r="H439" t="s">
        <v>2016</v>
      </c>
      <c r="I439" t="s">
        <v>2019</v>
      </c>
      <c r="J439" t="s">
        <v>2024</v>
      </c>
      <c r="K439">
        <v>14</v>
      </c>
      <c r="L439" t="s">
        <v>2029</v>
      </c>
      <c r="M439" t="s">
        <v>2036</v>
      </c>
      <c r="N439" t="str">
        <f t="shared" si="12"/>
        <v>Fail</v>
      </c>
      <c r="O439" t="str">
        <f t="shared" si="13"/>
        <v>UnderAge</v>
      </c>
      <c r="P439" t="str" cm="1">
        <f t="array" ref="P439">_xlfn.IFS(K439&gt;90,"Excellent",K439&gt;80,"Very Good",K439&gt;70,"Good",K439&gt;=50,"Poor",K439&lt;50,"Fail")</f>
        <v>Fail</v>
      </c>
    </row>
    <row r="440" spans="1:16" x14ac:dyDescent="0.25">
      <c r="A440" t="s">
        <v>449</v>
      </c>
      <c r="B440" t="s">
        <v>1448</v>
      </c>
      <c r="C440" t="s">
        <v>2070</v>
      </c>
      <c r="D440" t="s">
        <v>2056</v>
      </c>
      <c r="E440" t="s">
        <v>2007</v>
      </c>
      <c r="F440">
        <v>16</v>
      </c>
      <c r="G440" t="s">
        <v>2011</v>
      </c>
      <c r="H440" t="s">
        <v>2017</v>
      </c>
      <c r="I440" t="s">
        <v>2022</v>
      </c>
      <c r="J440" t="s">
        <v>2023</v>
      </c>
      <c r="K440">
        <v>27</v>
      </c>
      <c r="L440" t="s">
        <v>2029</v>
      </c>
      <c r="M440" t="s">
        <v>2036</v>
      </c>
      <c r="N440" t="str">
        <f t="shared" si="12"/>
        <v>Fail</v>
      </c>
      <c r="O440" t="str">
        <f t="shared" si="13"/>
        <v>UnderAge</v>
      </c>
      <c r="P440" t="str" cm="1">
        <f t="array" ref="P440">_xlfn.IFS(K440&gt;90,"Excellent",K440&gt;80,"Very Good",K440&gt;70,"Good",K440&gt;=50,"Poor",K440&lt;50,"Fail")</f>
        <v>Fail</v>
      </c>
    </row>
    <row r="441" spans="1:16" x14ac:dyDescent="0.25">
      <c r="A441" t="s">
        <v>450</v>
      </c>
      <c r="B441" t="s">
        <v>1449</v>
      </c>
      <c r="C441" t="s">
        <v>2290</v>
      </c>
      <c r="D441" t="s">
        <v>2590</v>
      </c>
      <c r="E441" t="s">
        <v>2007</v>
      </c>
      <c r="F441">
        <v>14</v>
      </c>
      <c r="G441" t="s">
        <v>2013</v>
      </c>
      <c r="H441" t="s">
        <v>2014</v>
      </c>
      <c r="I441" t="s">
        <v>2019</v>
      </c>
      <c r="J441" t="s">
        <v>2023</v>
      </c>
      <c r="K441">
        <v>27</v>
      </c>
      <c r="L441" t="s">
        <v>2032</v>
      </c>
      <c r="M441" t="s">
        <v>2036</v>
      </c>
      <c r="N441" t="str">
        <f t="shared" si="12"/>
        <v>Fail</v>
      </c>
      <c r="O441" t="str">
        <f t="shared" si="13"/>
        <v>UnderAge</v>
      </c>
      <c r="P441" t="str" cm="1">
        <f t="array" ref="P441">_xlfn.IFS(K441&gt;90,"Excellent",K441&gt;80,"Very Good",K441&gt;70,"Good",K441&gt;=50,"Poor",K441&lt;50,"Fail")</f>
        <v>Fail</v>
      </c>
    </row>
    <row r="442" spans="1:16" x14ac:dyDescent="0.25">
      <c r="A442" t="s">
        <v>451</v>
      </c>
      <c r="B442" t="s">
        <v>1450</v>
      </c>
      <c r="C442" t="s">
        <v>2208</v>
      </c>
      <c r="D442" t="s">
        <v>2573</v>
      </c>
      <c r="E442" t="s">
        <v>2008</v>
      </c>
      <c r="F442">
        <v>17</v>
      </c>
      <c r="G442" t="s">
        <v>2013</v>
      </c>
      <c r="H442" t="s">
        <v>2014</v>
      </c>
      <c r="I442" t="s">
        <v>2018</v>
      </c>
      <c r="J442" t="s">
        <v>2023</v>
      </c>
      <c r="K442">
        <v>29</v>
      </c>
      <c r="L442" t="s">
        <v>2031</v>
      </c>
      <c r="M442" t="s">
        <v>2036</v>
      </c>
      <c r="N442" t="str">
        <f t="shared" si="12"/>
        <v>Fail</v>
      </c>
      <c r="O442" t="str">
        <f t="shared" si="13"/>
        <v>UnderAge</v>
      </c>
      <c r="P442" t="str" cm="1">
        <f t="array" ref="P442">_xlfn.IFS(K442&gt;90,"Excellent",K442&gt;80,"Very Good",K442&gt;70,"Good",K442&gt;=50,"Poor",K442&lt;50,"Fail")</f>
        <v>Fail</v>
      </c>
    </row>
    <row r="443" spans="1:16" x14ac:dyDescent="0.25">
      <c r="A443" t="s">
        <v>452</v>
      </c>
      <c r="B443" t="s">
        <v>1451</v>
      </c>
      <c r="C443" t="s">
        <v>2071</v>
      </c>
      <c r="D443" t="s">
        <v>2056</v>
      </c>
      <c r="E443" t="s">
        <v>2008</v>
      </c>
      <c r="F443">
        <v>16</v>
      </c>
      <c r="G443" t="s">
        <v>2009</v>
      </c>
      <c r="H443" t="s">
        <v>2014</v>
      </c>
      <c r="I443" t="s">
        <v>2019</v>
      </c>
      <c r="J443" t="s">
        <v>2024</v>
      </c>
      <c r="K443">
        <v>28</v>
      </c>
      <c r="L443" t="s">
        <v>2028</v>
      </c>
      <c r="M443" t="s">
        <v>2036</v>
      </c>
      <c r="N443" t="str">
        <f t="shared" si="12"/>
        <v>Fail</v>
      </c>
      <c r="O443" t="str">
        <f t="shared" si="13"/>
        <v>UnderAge</v>
      </c>
      <c r="P443" t="str" cm="1">
        <f t="array" ref="P443">_xlfn.IFS(K443&gt;90,"Excellent",K443&gt;80,"Very Good",K443&gt;70,"Good",K443&gt;=50,"Poor",K443&lt;50,"Fail")</f>
        <v>Fail</v>
      </c>
    </row>
    <row r="444" spans="1:16" x14ac:dyDescent="0.25">
      <c r="A444" t="s">
        <v>453</v>
      </c>
      <c r="B444" t="s">
        <v>1452</v>
      </c>
      <c r="C444" t="s">
        <v>2291</v>
      </c>
      <c r="D444" t="s">
        <v>2661</v>
      </c>
      <c r="E444" t="s">
        <v>2007</v>
      </c>
      <c r="F444">
        <v>17</v>
      </c>
      <c r="G444" t="s">
        <v>2011</v>
      </c>
      <c r="H444" t="s">
        <v>2016</v>
      </c>
      <c r="I444" t="s">
        <v>2020</v>
      </c>
      <c r="J444" t="s">
        <v>2023</v>
      </c>
      <c r="K444">
        <v>35</v>
      </c>
      <c r="L444" t="s">
        <v>2027</v>
      </c>
      <c r="M444" t="s">
        <v>2036</v>
      </c>
      <c r="N444" t="str">
        <f t="shared" si="12"/>
        <v>Fail</v>
      </c>
      <c r="O444" t="str">
        <f t="shared" si="13"/>
        <v>UnderAge</v>
      </c>
      <c r="P444" t="str" cm="1">
        <f t="array" ref="P444">_xlfn.IFS(K444&gt;90,"Excellent",K444&gt;80,"Very Good",K444&gt;70,"Good",K444&gt;=50,"Poor",K444&lt;50,"Fail")</f>
        <v>Fail</v>
      </c>
    </row>
    <row r="445" spans="1:16" x14ac:dyDescent="0.25">
      <c r="A445" t="s">
        <v>454</v>
      </c>
      <c r="B445" t="s">
        <v>1453</v>
      </c>
      <c r="C445" t="s">
        <v>2292</v>
      </c>
      <c r="D445" t="s">
        <v>2424</v>
      </c>
      <c r="E445" t="s">
        <v>2007</v>
      </c>
      <c r="F445">
        <v>17</v>
      </c>
      <c r="G445" t="s">
        <v>2010</v>
      </c>
      <c r="H445" t="s">
        <v>2014</v>
      </c>
      <c r="I445" t="s">
        <v>2018</v>
      </c>
      <c r="J445" t="s">
        <v>2023</v>
      </c>
      <c r="K445">
        <v>26</v>
      </c>
      <c r="L445" t="s">
        <v>2029</v>
      </c>
      <c r="M445" t="s">
        <v>2036</v>
      </c>
      <c r="N445" t="str">
        <f t="shared" si="12"/>
        <v>Fail</v>
      </c>
      <c r="O445" t="str">
        <f t="shared" si="13"/>
        <v>UnderAge</v>
      </c>
      <c r="P445" t="str" cm="1">
        <f t="array" ref="P445">_xlfn.IFS(K445&gt;90,"Excellent",K445&gt;80,"Very Good",K445&gt;70,"Good",K445&gt;=50,"Poor",K445&lt;50,"Fail")</f>
        <v>Fail</v>
      </c>
    </row>
    <row r="446" spans="1:16" x14ac:dyDescent="0.25">
      <c r="A446" t="s">
        <v>455</v>
      </c>
      <c r="B446" t="s">
        <v>1454</v>
      </c>
      <c r="C446" t="s">
        <v>2293</v>
      </c>
      <c r="D446" t="s">
        <v>2662</v>
      </c>
      <c r="E446" t="s">
        <v>2008</v>
      </c>
      <c r="F446">
        <v>15</v>
      </c>
      <c r="G446" t="s">
        <v>2011</v>
      </c>
      <c r="H446" t="s">
        <v>2016</v>
      </c>
      <c r="I446" t="s">
        <v>2020</v>
      </c>
      <c r="J446" t="s">
        <v>2023</v>
      </c>
      <c r="K446">
        <v>87</v>
      </c>
      <c r="L446" t="s">
        <v>2027</v>
      </c>
      <c r="M446" t="s">
        <v>2035</v>
      </c>
      <c r="N446" t="str">
        <f t="shared" si="12"/>
        <v>Pass</v>
      </c>
      <c r="O446" t="str">
        <f t="shared" si="13"/>
        <v>UnderAge</v>
      </c>
      <c r="P446" t="str" cm="1">
        <f t="array" ref="P446">_xlfn.IFS(K446&gt;90,"Excellent",K446&gt;80,"Very Good",K446&gt;70,"Good",K446&gt;=50,"Poor",K446&lt;50,"Fail")</f>
        <v>Very Good</v>
      </c>
    </row>
    <row r="447" spans="1:16" x14ac:dyDescent="0.25">
      <c r="A447" t="s">
        <v>456</v>
      </c>
      <c r="B447" t="s">
        <v>1455</v>
      </c>
      <c r="C447" t="s">
        <v>2243</v>
      </c>
      <c r="D447" t="s">
        <v>2159</v>
      </c>
      <c r="E447" t="s">
        <v>2007</v>
      </c>
      <c r="F447">
        <v>14</v>
      </c>
      <c r="G447" t="s">
        <v>2011</v>
      </c>
      <c r="H447" t="s">
        <v>2015</v>
      </c>
      <c r="I447" t="s">
        <v>2020</v>
      </c>
      <c r="J447" t="s">
        <v>2024</v>
      </c>
      <c r="K447">
        <v>98</v>
      </c>
      <c r="L447" t="s">
        <v>2034</v>
      </c>
      <c r="M447" t="s">
        <v>2035</v>
      </c>
      <c r="N447" t="str">
        <f t="shared" si="12"/>
        <v>Pass</v>
      </c>
      <c r="O447" t="str">
        <f t="shared" si="13"/>
        <v>UnderAge</v>
      </c>
      <c r="P447" t="str" cm="1">
        <f t="array" ref="P447">_xlfn.IFS(K447&gt;90,"Excellent",K447&gt;80,"Very Good",K447&gt;70,"Good",K447&gt;=50,"Poor",K447&lt;50,"Fail")</f>
        <v>Excellent</v>
      </c>
    </row>
    <row r="448" spans="1:16" x14ac:dyDescent="0.25">
      <c r="A448" t="s">
        <v>457</v>
      </c>
      <c r="B448" t="s">
        <v>1456</v>
      </c>
      <c r="C448" t="s">
        <v>2072</v>
      </c>
      <c r="D448" t="s">
        <v>2663</v>
      </c>
      <c r="E448" t="s">
        <v>2007</v>
      </c>
      <c r="F448">
        <v>18</v>
      </c>
      <c r="G448" t="s">
        <v>2009</v>
      </c>
      <c r="H448" t="s">
        <v>2015</v>
      </c>
      <c r="I448" t="s">
        <v>2019</v>
      </c>
      <c r="J448" t="s">
        <v>2024</v>
      </c>
      <c r="K448">
        <v>94</v>
      </c>
      <c r="L448" t="s">
        <v>2026</v>
      </c>
      <c r="M448" t="s">
        <v>2035</v>
      </c>
      <c r="N448" t="str">
        <f t="shared" si="12"/>
        <v>Pass</v>
      </c>
      <c r="O448" t="str">
        <f t="shared" si="13"/>
        <v>Adult</v>
      </c>
      <c r="P448" t="str" cm="1">
        <f t="array" ref="P448">_xlfn.IFS(K448&gt;90,"Excellent",K448&gt;80,"Very Good",K448&gt;70,"Good",K448&gt;=50,"Poor",K448&lt;50,"Fail")</f>
        <v>Excellent</v>
      </c>
    </row>
    <row r="449" spans="1:16" x14ac:dyDescent="0.25">
      <c r="A449" t="s">
        <v>458</v>
      </c>
      <c r="B449" t="s">
        <v>1457</v>
      </c>
      <c r="C449" t="s">
        <v>2132</v>
      </c>
      <c r="D449" t="s">
        <v>2664</v>
      </c>
      <c r="E449" t="s">
        <v>2008</v>
      </c>
      <c r="F449">
        <v>14</v>
      </c>
      <c r="G449" t="s">
        <v>2013</v>
      </c>
      <c r="H449" t="s">
        <v>2017</v>
      </c>
      <c r="I449" t="s">
        <v>2018</v>
      </c>
      <c r="J449" t="s">
        <v>2024</v>
      </c>
      <c r="K449">
        <v>50</v>
      </c>
      <c r="L449" t="s">
        <v>2027</v>
      </c>
      <c r="M449" t="s">
        <v>2035</v>
      </c>
      <c r="N449" t="str">
        <f t="shared" si="12"/>
        <v>Pass</v>
      </c>
      <c r="O449" t="str">
        <f t="shared" si="13"/>
        <v>UnderAge</v>
      </c>
      <c r="P449" t="str" cm="1">
        <f t="array" ref="P449">_xlfn.IFS(K449&gt;90,"Excellent",K449&gt;80,"Very Good",K449&gt;70,"Good",K449&gt;=50,"Poor",K449&lt;50,"Fail")</f>
        <v>Poor</v>
      </c>
    </row>
    <row r="450" spans="1:16" x14ac:dyDescent="0.25">
      <c r="A450" t="s">
        <v>459</v>
      </c>
      <c r="B450" t="s">
        <v>1458</v>
      </c>
      <c r="C450" t="s">
        <v>2131</v>
      </c>
      <c r="D450" t="s">
        <v>2665</v>
      </c>
      <c r="E450" t="s">
        <v>2008</v>
      </c>
      <c r="F450">
        <v>15</v>
      </c>
      <c r="G450" t="s">
        <v>2011</v>
      </c>
      <c r="H450" t="s">
        <v>2017</v>
      </c>
      <c r="I450" t="s">
        <v>2022</v>
      </c>
      <c r="J450" t="s">
        <v>2023</v>
      </c>
      <c r="K450">
        <v>82</v>
      </c>
      <c r="L450" t="s">
        <v>2034</v>
      </c>
      <c r="M450" t="s">
        <v>2035</v>
      </c>
      <c r="N450" t="str">
        <f t="shared" si="12"/>
        <v>Pass</v>
      </c>
      <c r="O450" t="str">
        <f t="shared" si="13"/>
        <v>UnderAge</v>
      </c>
      <c r="P450" t="str" cm="1">
        <f t="array" ref="P450">_xlfn.IFS(K450&gt;90,"Excellent",K450&gt;80,"Very Good",K450&gt;70,"Good",K450&gt;=50,"Poor",K450&lt;50,"Fail")</f>
        <v>Very Good</v>
      </c>
    </row>
    <row r="451" spans="1:16" x14ac:dyDescent="0.25">
      <c r="A451" t="s">
        <v>460</v>
      </c>
      <c r="B451" t="s">
        <v>1459</v>
      </c>
      <c r="C451" t="s">
        <v>2268</v>
      </c>
      <c r="D451" t="s">
        <v>2666</v>
      </c>
      <c r="E451" t="s">
        <v>2008</v>
      </c>
      <c r="F451">
        <v>17</v>
      </c>
      <c r="G451" t="s">
        <v>2011</v>
      </c>
      <c r="H451" t="s">
        <v>2017</v>
      </c>
      <c r="I451" t="s">
        <v>2018</v>
      </c>
      <c r="J451" t="s">
        <v>2023</v>
      </c>
      <c r="K451">
        <v>61</v>
      </c>
      <c r="L451" t="s">
        <v>2031</v>
      </c>
      <c r="M451" t="s">
        <v>2035</v>
      </c>
      <c r="N451" t="str">
        <f t="shared" ref="N451:N514" si="14">IF(K451&gt;=50,"Pass","Fail")</f>
        <v>Pass</v>
      </c>
      <c r="O451" t="str">
        <f t="shared" ref="O451:O514" si="15">IF(F451&gt;=18,"Adult","UnderAge")</f>
        <v>UnderAge</v>
      </c>
      <c r="P451" t="str" cm="1">
        <f t="array" ref="P451">_xlfn.IFS(K451&gt;90,"Excellent",K451&gt;80,"Very Good",K451&gt;70,"Good",K451&gt;=50,"Poor",K451&lt;50,"Fail")</f>
        <v>Poor</v>
      </c>
    </row>
    <row r="452" spans="1:16" x14ac:dyDescent="0.25">
      <c r="A452" t="s">
        <v>461</v>
      </c>
      <c r="B452" t="s">
        <v>1460</v>
      </c>
      <c r="C452" t="s">
        <v>2077</v>
      </c>
      <c r="D452" t="s">
        <v>2667</v>
      </c>
      <c r="E452" t="s">
        <v>2007</v>
      </c>
      <c r="F452">
        <v>14</v>
      </c>
      <c r="G452" t="s">
        <v>2010</v>
      </c>
      <c r="H452" t="s">
        <v>2014</v>
      </c>
      <c r="I452" t="s">
        <v>2019</v>
      </c>
      <c r="J452" t="s">
        <v>2023</v>
      </c>
      <c r="K452">
        <v>16</v>
      </c>
      <c r="L452" t="s">
        <v>2033</v>
      </c>
      <c r="M452" t="s">
        <v>2036</v>
      </c>
      <c r="N452" t="str">
        <f t="shared" si="14"/>
        <v>Fail</v>
      </c>
      <c r="O452" t="str">
        <f t="shared" si="15"/>
        <v>UnderAge</v>
      </c>
      <c r="P452" t="str" cm="1">
        <f t="array" ref="P452">_xlfn.IFS(K452&gt;90,"Excellent",K452&gt;80,"Very Good",K452&gt;70,"Good",K452&gt;=50,"Poor",K452&lt;50,"Fail")</f>
        <v>Fail</v>
      </c>
    </row>
    <row r="453" spans="1:16" x14ac:dyDescent="0.25">
      <c r="A453" t="s">
        <v>462</v>
      </c>
      <c r="B453" t="s">
        <v>1461</v>
      </c>
      <c r="C453" t="s">
        <v>2294</v>
      </c>
      <c r="D453" t="s">
        <v>2668</v>
      </c>
      <c r="E453" t="s">
        <v>2007</v>
      </c>
      <c r="F453">
        <v>17</v>
      </c>
      <c r="G453" t="s">
        <v>2011</v>
      </c>
      <c r="H453" t="s">
        <v>2016</v>
      </c>
      <c r="I453" t="s">
        <v>2020</v>
      </c>
      <c r="J453" t="s">
        <v>2024</v>
      </c>
      <c r="K453">
        <v>100</v>
      </c>
      <c r="L453" t="s">
        <v>2029</v>
      </c>
      <c r="M453" t="s">
        <v>2035</v>
      </c>
      <c r="N453" t="str">
        <f t="shared" si="14"/>
        <v>Pass</v>
      </c>
      <c r="O453" t="str">
        <f t="shared" si="15"/>
        <v>UnderAge</v>
      </c>
      <c r="P453" t="str" cm="1">
        <f t="array" ref="P453">_xlfn.IFS(K453&gt;90,"Excellent",K453&gt;80,"Very Good",K453&gt;70,"Good",K453&gt;=50,"Poor",K453&lt;50,"Fail")</f>
        <v>Excellent</v>
      </c>
    </row>
    <row r="454" spans="1:16" x14ac:dyDescent="0.25">
      <c r="A454" t="s">
        <v>463</v>
      </c>
      <c r="B454" t="s">
        <v>1462</v>
      </c>
      <c r="C454" t="s">
        <v>2076</v>
      </c>
      <c r="D454" t="s">
        <v>2669</v>
      </c>
      <c r="E454" t="s">
        <v>2007</v>
      </c>
      <c r="F454">
        <v>15</v>
      </c>
      <c r="G454" t="s">
        <v>2012</v>
      </c>
      <c r="H454" t="s">
        <v>2016</v>
      </c>
      <c r="I454" t="s">
        <v>2018</v>
      </c>
      <c r="J454" t="s">
        <v>2023</v>
      </c>
      <c r="K454">
        <v>68</v>
      </c>
      <c r="L454" t="s">
        <v>2029</v>
      </c>
      <c r="M454" t="s">
        <v>2035</v>
      </c>
      <c r="N454" t="str">
        <f t="shared" si="14"/>
        <v>Pass</v>
      </c>
      <c r="O454" t="str">
        <f t="shared" si="15"/>
        <v>UnderAge</v>
      </c>
      <c r="P454" t="str" cm="1">
        <f t="array" ref="P454">_xlfn.IFS(K454&gt;90,"Excellent",K454&gt;80,"Very Good",K454&gt;70,"Good",K454&gt;=50,"Poor",K454&lt;50,"Fail")</f>
        <v>Poor</v>
      </c>
    </row>
    <row r="455" spans="1:16" x14ac:dyDescent="0.25">
      <c r="A455" t="s">
        <v>464</v>
      </c>
      <c r="B455" t="s">
        <v>1463</v>
      </c>
      <c r="C455" t="s">
        <v>2097</v>
      </c>
      <c r="D455" t="s">
        <v>2601</v>
      </c>
      <c r="E455" t="s">
        <v>2008</v>
      </c>
      <c r="F455">
        <v>16</v>
      </c>
      <c r="G455" t="s">
        <v>2011</v>
      </c>
      <c r="H455" t="s">
        <v>2014</v>
      </c>
      <c r="I455" t="s">
        <v>2021</v>
      </c>
      <c r="J455" t="s">
        <v>2024</v>
      </c>
      <c r="K455">
        <v>2</v>
      </c>
      <c r="L455" t="s">
        <v>2028</v>
      </c>
      <c r="M455" t="s">
        <v>2036</v>
      </c>
      <c r="N455" t="str">
        <f t="shared" si="14"/>
        <v>Fail</v>
      </c>
      <c r="O455" t="str">
        <f t="shared" si="15"/>
        <v>UnderAge</v>
      </c>
      <c r="P455" t="str" cm="1">
        <f t="array" ref="P455">_xlfn.IFS(K455&gt;90,"Excellent",K455&gt;80,"Very Good",K455&gt;70,"Good",K455&gt;=50,"Poor",K455&lt;50,"Fail")</f>
        <v>Fail</v>
      </c>
    </row>
    <row r="456" spans="1:16" x14ac:dyDescent="0.25">
      <c r="A456" t="s">
        <v>465</v>
      </c>
      <c r="B456" t="s">
        <v>1464</v>
      </c>
      <c r="C456" t="s">
        <v>2092</v>
      </c>
      <c r="D456" t="s">
        <v>2670</v>
      </c>
      <c r="E456" t="s">
        <v>2008</v>
      </c>
      <c r="F456">
        <v>16</v>
      </c>
      <c r="G456" t="s">
        <v>2012</v>
      </c>
      <c r="H456" t="s">
        <v>2016</v>
      </c>
      <c r="I456" t="s">
        <v>2018</v>
      </c>
      <c r="J456" t="s">
        <v>2023</v>
      </c>
      <c r="K456">
        <v>85</v>
      </c>
      <c r="L456" t="s">
        <v>2029</v>
      </c>
      <c r="M456" t="s">
        <v>2035</v>
      </c>
      <c r="N456" t="str">
        <f t="shared" si="14"/>
        <v>Pass</v>
      </c>
      <c r="O456" t="str">
        <f t="shared" si="15"/>
        <v>UnderAge</v>
      </c>
      <c r="P456" t="str" cm="1">
        <f t="array" ref="P456">_xlfn.IFS(K456&gt;90,"Excellent",K456&gt;80,"Very Good",K456&gt;70,"Good",K456&gt;=50,"Poor",K456&lt;50,"Fail")</f>
        <v>Very Good</v>
      </c>
    </row>
    <row r="457" spans="1:16" x14ac:dyDescent="0.25">
      <c r="A457" t="s">
        <v>466</v>
      </c>
      <c r="B457" t="s">
        <v>1465</v>
      </c>
      <c r="C457" t="s">
        <v>2076</v>
      </c>
      <c r="D457" t="s">
        <v>2474</v>
      </c>
      <c r="E457" t="s">
        <v>2008</v>
      </c>
      <c r="F457">
        <v>14</v>
      </c>
      <c r="G457" t="s">
        <v>2011</v>
      </c>
      <c r="H457" t="s">
        <v>2015</v>
      </c>
      <c r="I457" t="s">
        <v>2020</v>
      </c>
      <c r="J457" t="s">
        <v>2024</v>
      </c>
      <c r="K457">
        <v>46</v>
      </c>
      <c r="L457" t="s">
        <v>2030</v>
      </c>
      <c r="M457" t="s">
        <v>2036</v>
      </c>
      <c r="N457" t="str">
        <f t="shared" si="14"/>
        <v>Fail</v>
      </c>
      <c r="O457" t="str">
        <f t="shared" si="15"/>
        <v>UnderAge</v>
      </c>
      <c r="P457" t="str" cm="1">
        <f t="array" ref="P457">_xlfn.IFS(K457&gt;90,"Excellent",K457&gt;80,"Very Good",K457&gt;70,"Good",K457&gt;=50,"Poor",K457&lt;50,"Fail")</f>
        <v>Fail</v>
      </c>
    </row>
    <row r="458" spans="1:16" x14ac:dyDescent="0.25">
      <c r="A458" t="s">
        <v>467</v>
      </c>
      <c r="B458" t="s">
        <v>1466</v>
      </c>
      <c r="C458" t="s">
        <v>2295</v>
      </c>
      <c r="D458" t="s">
        <v>2446</v>
      </c>
      <c r="E458" t="s">
        <v>2007</v>
      </c>
      <c r="F458">
        <v>15</v>
      </c>
      <c r="G458" t="s">
        <v>2010</v>
      </c>
      <c r="H458" t="s">
        <v>2014</v>
      </c>
      <c r="I458" t="s">
        <v>2022</v>
      </c>
      <c r="J458" t="s">
        <v>2023</v>
      </c>
      <c r="K458">
        <v>22</v>
      </c>
      <c r="L458" t="s">
        <v>2030</v>
      </c>
      <c r="M458" t="s">
        <v>2036</v>
      </c>
      <c r="N458" t="str">
        <f t="shared" si="14"/>
        <v>Fail</v>
      </c>
      <c r="O458" t="str">
        <f t="shared" si="15"/>
        <v>UnderAge</v>
      </c>
      <c r="P458" t="str" cm="1">
        <f t="array" ref="P458">_xlfn.IFS(K458&gt;90,"Excellent",K458&gt;80,"Very Good",K458&gt;70,"Good",K458&gt;=50,"Poor",K458&lt;50,"Fail")</f>
        <v>Fail</v>
      </c>
    </row>
    <row r="459" spans="1:16" x14ac:dyDescent="0.25">
      <c r="A459" t="s">
        <v>468</v>
      </c>
      <c r="B459" t="s">
        <v>1467</v>
      </c>
      <c r="C459" t="s">
        <v>2296</v>
      </c>
      <c r="D459" t="s">
        <v>2228</v>
      </c>
      <c r="E459" t="s">
        <v>2007</v>
      </c>
      <c r="F459">
        <v>14</v>
      </c>
      <c r="G459" t="s">
        <v>2013</v>
      </c>
      <c r="H459" t="s">
        <v>2014</v>
      </c>
      <c r="I459" t="s">
        <v>2018</v>
      </c>
      <c r="J459" t="s">
        <v>2024</v>
      </c>
      <c r="K459">
        <v>14</v>
      </c>
      <c r="L459" t="s">
        <v>2026</v>
      </c>
      <c r="M459" t="s">
        <v>2036</v>
      </c>
      <c r="N459" t="str">
        <f t="shared" si="14"/>
        <v>Fail</v>
      </c>
      <c r="O459" t="str">
        <f t="shared" si="15"/>
        <v>UnderAge</v>
      </c>
      <c r="P459" t="str" cm="1">
        <f t="array" ref="P459">_xlfn.IFS(K459&gt;90,"Excellent",K459&gt;80,"Very Good",K459&gt;70,"Good",K459&gt;=50,"Poor",K459&lt;50,"Fail")</f>
        <v>Fail</v>
      </c>
    </row>
    <row r="460" spans="1:16" x14ac:dyDescent="0.25">
      <c r="A460" t="s">
        <v>469</v>
      </c>
      <c r="B460" t="s">
        <v>1468</v>
      </c>
      <c r="C460" t="s">
        <v>2297</v>
      </c>
      <c r="D460" t="s">
        <v>2671</v>
      </c>
      <c r="E460" t="s">
        <v>2008</v>
      </c>
      <c r="F460">
        <v>16</v>
      </c>
      <c r="G460" t="s">
        <v>2011</v>
      </c>
      <c r="H460" t="s">
        <v>2016</v>
      </c>
      <c r="I460" t="s">
        <v>2021</v>
      </c>
      <c r="J460" t="s">
        <v>2024</v>
      </c>
      <c r="K460">
        <v>29</v>
      </c>
      <c r="L460" t="s">
        <v>2030</v>
      </c>
      <c r="M460" t="s">
        <v>2036</v>
      </c>
      <c r="N460" t="str">
        <f t="shared" si="14"/>
        <v>Fail</v>
      </c>
      <c r="O460" t="str">
        <f t="shared" si="15"/>
        <v>UnderAge</v>
      </c>
      <c r="P460" t="str" cm="1">
        <f t="array" ref="P460">_xlfn.IFS(K460&gt;90,"Excellent",K460&gt;80,"Very Good",K460&gt;70,"Good",K460&gt;=50,"Poor",K460&lt;50,"Fail")</f>
        <v>Fail</v>
      </c>
    </row>
    <row r="461" spans="1:16" x14ac:dyDescent="0.25">
      <c r="A461" t="s">
        <v>470</v>
      </c>
      <c r="B461" t="s">
        <v>1469</v>
      </c>
      <c r="C461" t="s">
        <v>2298</v>
      </c>
      <c r="D461" t="s">
        <v>2058</v>
      </c>
      <c r="E461" t="s">
        <v>2008</v>
      </c>
      <c r="F461">
        <v>16</v>
      </c>
      <c r="G461" t="s">
        <v>2012</v>
      </c>
      <c r="H461" t="s">
        <v>2014</v>
      </c>
      <c r="I461" t="s">
        <v>2018</v>
      </c>
      <c r="J461" t="s">
        <v>2023</v>
      </c>
      <c r="K461">
        <v>31</v>
      </c>
      <c r="L461" t="s">
        <v>2025</v>
      </c>
      <c r="M461" t="s">
        <v>2036</v>
      </c>
      <c r="N461" t="str">
        <f t="shared" si="14"/>
        <v>Fail</v>
      </c>
      <c r="O461" t="str">
        <f t="shared" si="15"/>
        <v>UnderAge</v>
      </c>
      <c r="P461" t="str" cm="1">
        <f t="array" ref="P461">_xlfn.IFS(K461&gt;90,"Excellent",K461&gt;80,"Very Good",K461&gt;70,"Good",K461&gt;=50,"Poor",K461&lt;50,"Fail")</f>
        <v>Fail</v>
      </c>
    </row>
    <row r="462" spans="1:16" x14ac:dyDescent="0.25">
      <c r="A462" t="s">
        <v>471</v>
      </c>
      <c r="B462" t="s">
        <v>1470</v>
      </c>
      <c r="C462" t="s">
        <v>2151</v>
      </c>
      <c r="D462" t="s">
        <v>2672</v>
      </c>
      <c r="E462" t="s">
        <v>2007</v>
      </c>
      <c r="F462">
        <v>14</v>
      </c>
      <c r="G462" t="s">
        <v>2013</v>
      </c>
      <c r="H462" t="s">
        <v>2015</v>
      </c>
      <c r="I462" t="s">
        <v>2021</v>
      </c>
      <c r="J462" t="s">
        <v>2023</v>
      </c>
      <c r="K462">
        <v>25</v>
      </c>
      <c r="L462" t="s">
        <v>2026</v>
      </c>
      <c r="M462" t="s">
        <v>2036</v>
      </c>
      <c r="N462" t="str">
        <f t="shared" si="14"/>
        <v>Fail</v>
      </c>
      <c r="O462" t="str">
        <f t="shared" si="15"/>
        <v>UnderAge</v>
      </c>
      <c r="P462" t="str" cm="1">
        <f t="array" ref="P462">_xlfn.IFS(K462&gt;90,"Excellent",K462&gt;80,"Very Good",K462&gt;70,"Good",K462&gt;=50,"Poor",K462&lt;50,"Fail")</f>
        <v>Fail</v>
      </c>
    </row>
    <row r="463" spans="1:16" x14ac:dyDescent="0.25">
      <c r="A463" t="s">
        <v>472</v>
      </c>
      <c r="B463" t="s">
        <v>1471</v>
      </c>
      <c r="C463" t="s">
        <v>2068</v>
      </c>
      <c r="D463" t="s">
        <v>2510</v>
      </c>
      <c r="E463" t="s">
        <v>2008</v>
      </c>
      <c r="F463">
        <v>18</v>
      </c>
      <c r="G463" t="s">
        <v>2011</v>
      </c>
      <c r="H463" t="s">
        <v>2015</v>
      </c>
      <c r="I463" t="s">
        <v>2021</v>
      </c>
      <c r="J463" t="s">
        <v>2023</v>
      </c>
      <c r="K463">
        <v>99</v>
      </c>
      <c r="L463" t="s">
        <v>2026</v>
      </c>
      <c r="M463" t="s">
        <v>2035</v>
      </c>
      <c r="N463" t="str">
        <f t="shared" si="14"/>
        <v>Pass</v>
      </c>
      <c r="O463" t="str">
        <f t="shared" si="15"/>
        <v>Adult</v>
      </c>
      <c r="P463" t="str" cm="1">
        <f t="array" ref="P463">_xlfn.IFS(K463&gt;90,"Excellent",K463&gt;80,"Very Good",K463&gt;70,"Good",K463&gt;=50,"Poor",K463&lt;50,"Fail")</f>
        <v>Excellent</v>
      </c>
    </row>
    <row r="464" spans="1:16" x14ac:dyDescent="0.25">
      <c r="A464" t="s">
        <v>473</v>
      </c>
      <c r="B464" t="s">
        <v>1472</v>
      </c>
      <c r="C464" t="s">
        <v>2157</v>
      </c>
      <c r="D464" t="s">
        <v>2559</v>
      </c>
      <c r="E464" t="s">
        <v>2008</v>
      </c>
      <c r="F464">
        <v>14</v>
      </c>
      <c r="G464" t="s">
        <v>2011</v>
      </c>
      <c r="H464" t="s">
        <v>2015</v>
      </c>
      <c r="I464" t="s">
        <v>2020</v>
      </c>
      <c r="J464" t="s">
        <v>2023</v>
      </c>
      <c r="K464">
        <v>68</v>
      </c>
      <c r="L464" t="s">
        <v>2029</v>
      </c>
      <c r="M464" t="s">
        <v>2035</v>
      </c>
      <c r="N464" t="str">
        <f t="shared" si="14"/>
        <v>Pass</v>
      </c>
      <c r="O464" t="str">
        <f t="shared" si="15"/>
        <v>UnderAge</v>
      </c>
      <c r="P464" t="str" cm="1">
        <f t="array" ref="P464">_xlfn.IFS(K464&gt;90,"Excellent",K464&gt;80,"Very Good",K464&gt;70,"Good",K464&gt;=50,"Poor",K464&lt;50,"Fail")</f>
        <v>Poor</v>
      </c>
    </row>
    <row r="465" spans="1:16" x14ac:dyDescent="0.25">
      <c r="A465" t="s">
        <v>474</v>
      </c>
      <c r="B465" t="s">
        <v>1473</v>
      </c>
      <c r="C465" t="s">
        <v>2150</v>
      </c>
      <c r="D465" t="s">
        <v>2597</v>
      </c>
      <c r="E465" t="s">
        <v>2007</v>
      </c>
      <c r="F465">
        <v>15</v>
      </c>
      <c r="G465" t="s">
        <v>2011</v>
      </c>
      <c r="H465" t="s">
        <v>2017</v>
      </c>
      <c r="I465" t="s">
        <v>2020</v>
      </c>
      <c r="J465" t="s">
        <v>2024</v>
      </c>
      <c r="K465">
        <v>63</v>
      </c>
      <c r="L465" t="s">
        <v>2030</v>
      </c>
      <c r="M465" t="s">
        <v>2035</v>
      </c>
      <c r="N465" t="str">
        <f t="shared" si="14"/>
        <v>Pass</v>
      </c>
      <c r="O465" t="str">
        <f t="shared" si="15"/>
        <v>UnderAge</v>
      </c>
      <c r="P465" t="str" cm="1">
        <f t="array" ref="P465">_xlfn.IFS(K465&gt;90,"Excellent",K465&gt;80,"Very Good",K465&gt;70,"Good",K465&gt;=50,"Poor",K465&lt;50,"Fail")</f>
        <v>Poor</v>
      </c>
    </row>
    <row r="466" spans="1:16" x14ac:dyDescent="0.25">
      <c r="A466" t="s">
        <v>475</v>
      </c>
      <c r="B466" t="s">
        <v>1474</v>
      </c>
      <c r="C466" t="s">
        <v>2299</v>
      </c>
      <c r="D466" t="s">
        <v>2668</v>
      </c>
      <c r="E466" t="s">
        <v>2007</v>
      </c>
      <c r="F466">
        <v>15</v>
      </c>
      <c r="G466" t="s">
        <v>2009</v>
      </c>
      <c r="H466" t="s">
        <v>2017</v>
      </c>
      <c r="I466" t="s">
        <v>2019</v>
      </c>
      <c r="J466" t="s">
        <v>2024</v>
      </c>
      <c r="K466">
        <v>57</v>
      </c>
      <c r="L466" t="s">
        <v>2030</v>
      </c>
      <c r="M466" t="s">
        <v>2035</v>
      </c>
      <c r="N466" t="str">
        <f t="shared" si="14"/>
        <v>Pass</v>
      </c>
      <c r="O466" t="str">
        <f t="shared" si="15"/>
        <v>UnderAge</v>
      </c>
      <c r="P466" t="str" cm="1">
        <f t="array" ref="P466">_xlfn.IFS(K466&gt;90,"Excellent",K466&gt;80,"Very Good",K466&gt;70,"Good",K466&gt;=50,"Poor",K466&lt;50,"Fail")</f>
        <v>Poor</v>
      </c>
    </row>
    <row r="467" spans="1:16" x14ac:dyDescent="0.25">
      <c r="A467" t="s">
        <v>476</v>
      </c>
      <c r="B467" t="s">
        <v>1475</v>
      </c>
      <c r="C467" t="s">
        <v>2163</v>
      </c>
      <c r="D467" t="s">
        <v>2228</v>
      </c>
      <c r="E467" t="s">
        <v>2008</v>
      </c>
      <c r="F467">
        <v>16</v>
      </c>
      <c r="G467" t="s">
        <v>2009</v>
      </c>
      <c r="H467" t="s">
        <v>2015</v>
      </c>
      <c r="I467" t="s">
        <v>2021</v>
      </c>
      <c r="J467" t="s">
        <v>2024</v>
      </c>
      <c r="K467">
        <v>60</v>
      </c>
      <c r="L467" t="s">
        <v>2028</v>
      </c>
      <c r="M467" t="s">
        <v>2035</v>
      </c>
      <c r="N467" t="str">
        <f t="shared" si="14"/>
        <v>Pass</v>
      </c>
      <c r="O467" t="str">
        <f t="shared" si="15"/>
        <v>UnderAge</v>
      </c>
      <c r="P467" t="str" cm="1">
        <f t="array" ref="P467">_xlfn.IFS(K467&gt;90,"Excellent",K467&gt;80,"Very Good",K467&gt;70,"Good",K467&gt;=50,"Poor",K467&lt;50,"Fail")</f>
        <v>Poor</v>
      </c>
    </row>
    <row r="468" spans="1:16" x14ac:dyDescent="0.25">
      <c r="A468" t="s">
        <v>477</v>
      </c>
      <c r="B468" t="s">
        <v>1476</v>
      </c>
      <c r="C468" t="s">
        <v>2079</v>
      </c>
      <c r="D468" t="s">
        <v>2588</v>
      </c>
      <c r="E468" t="s">
        <v>2007</v>
      </c>
      <c r="F468">
        <v>17</v>
      </c>
      <c r="G468" t="s">
        <v>2012</v>
      </c>
      <c r="H468" t="s">
        <v>2015</v>
      </c>
      <c r="I468" t="s">
        <v>2021</v>
      </c>
      <c r="J468" t="s">
        <v>2023</v>
      </c>
      <c r="K468">
        <v>51</v>
      </c>
      <c r="L468" t="s">
        <v>2031</v>
      </c>
      <c r="M468" t="s">
        <v>2035</v>
      </c>
      <c r="N468" t="str">
        <f t="shared" si="14"/>
        <v>Pass</v>
      </c>
      <c r="O468" t="str">
        <f t="shared" si="15"/>
        <v>UnderAge</v>
      </c>
      <c r="P468" t="str" cm="1">
        <f t="array" ref="P468">_xlfn.IFS(K468&gt;90,"Excellent",K468&gt;80,"Very Good",K468&gt;70,"Good",K468&gt;=50,"Poor",K468&lt;50,"Fail")</f>
        <v>Poor</v>
      </c>
    </row>
    <row r="469" spans="1:16" x14ac:dyDescent="0.25">
      <c r="A469" t="s">
        <v>478</v>
      </c>
      <c r="B469" t="s">
        <v>1477</v>
      </c>
      <c r="C469" t="s">
        <v>2165</v>
      </c>
      <c r="D469" t="s">
        <v>2673</v>
      </c>
      <c r="E469" t="s">
        <v>2007</v>
      </c>
      <c r="F469">
        <v>16</v>
      </c>
      <c r="G469" t="s">
        <v>2013</v>
      </c>
      <c r="H469" t="s">
        <v>2015</v>
      </c>
      <c r="I469" t="s">
        <v>2020</v>
      </c>
      <c r="J469" t="s">
        <v>2023</v>
      </c>
      <c r="K469">
        <v>34</v>
      </c>
      <c r="L469" t="s">
        <v>2031</v>
      </c>
      <c r="M469" t="s">
        <v>2036</v>
      </c>
      <c r="N469" t="str">
        <f t="shared" si="14"/>
        <v>Fail</v>
      </c>
      <c r="O469" t="str">
        <f t="shared" si="15"/>
        <v>UnderAge</v>
      </c>
      <c r="P469" t="str" cm="1">
        <f t="array" ref="P469">_xlfn.IFS(K469&gt;90,"Excellent",K469&gt;80,"Very Good",K469&gt;70,"Good",K469&gt;=50,"Poor",K469&lt;50,"Fail")</f>
        <v>Fail</v>
      </c>
    </row>
    <row r="470" spans="1:16" x14ac:dyDescent="0.25">
      <c r="A470" t="s">
        <v>479</v>
      </c>
      <c r="B470" t="s">
        <v>1478</v>
      </c>
      <c r="C470" t="s">
        <v>2068</v>
      </c>
      <c r="D470" t="s">
        <v>2536</v>
      </c>
      <c r="E470" t="s">
        <v>2007</v>
      </c>
      <c r="F470">
        <v>14</v>
      </c>
      <c r="G470" t="s">
        <v>2013</v>
      </c>
      <c r="H470" t="s">
        <v>2017</v>
      </c>
      <c r="I470" t="s">
        <v>2018</v>
      </c>
      <c r="J470" t="s">
        <v>2024</v>
      </c>
      <c r="K470">
        <v>92</v>
      </c>
      <c r="L470" t="s">
        <v>2032</v>
      </c>
      <c r="M470" t="s">
        <v>2035</v>
      </c>
      <c r="N470" t="str">
        <f t="shared" si="14"/>
        <v>Pass</v>
      </c>
      <c r="O470" t="str">
        <f t="shared" si="15"/>
        <v>UnderAge</v>
      </c>
      <c r="P470" t="str" cm="1">
        <f t="array" ref="P470">_xlfn.IFS(K470&gt;90,"Excellent",K470&gt;80,"Very Good",K470&gt;70,"Good",K470&gt;=50,"Poor",K470&lt;50,"Fail")</f>
        <v>Excellent</v>
      </c>
    </row>
    <row r="471" spans="1:16" x14ac:dyDescent="0.25">
      <c r="A471" t="s">
        <v>480</v>
      </c>
      <c r="B471" t="s">
        <v>1479</v>
      </c>
      <c r="C471" t="s">
        <v>2148</v>
      </c>
      <c r="D471" t="s">
        <v>2674</v>
      </c>
      <c r="E471" t="s">
        <v>2008</v>
      </c>
      <c r="F471">
        <v>16</v>
      </c>
      <c r="G471" t="s">
        <v>2012</v>
      </c>
      <c r="H471" t="s">
        <v>2015</v>
      </c>
      <c r="I471" t="s">
        <v>2020</v>
      </c>
      <c r="J471" t="s">
        <v>2024</v>
      </c>
      <c r="K471">
        <v>8</v>
      </c>
      <c r="L471" t="s">
        <v>2027</v>
      </c>
      <c r="M471" t="s">
        <v>2036</v>
      </c>
      <c r="N471" t="str">
        <f t="shared" si="14"/>
        <v>Fail</v>
      </c>
      <c r="O471" t="str">
        <f t="shared" si="15"/>
        <v>UnderAge</v>
      </c>
      <c r="P471" t="str" cm="1">
        <f t="array" ref="P471">_xlfn.IFS(K471&gt;90,"Excellent",K471&gt;80,"Very Good",K471&gt;70,"Good",K471&gt;=50,"Poor",K471&lt;50,"Fail")</f>
        <v>Fail</v>
      </c>
    </row>
    <row r="472" spans="1:16" x14ac:dyDescent="0.25">
      <c r="A472" t="s">
        <v>481</v>
      </c>
      <c r="B472" t="s">
        <v>1480</v>
      </c>
      <c r="C472" t="s">
        <v>2131</v>
      </c>
      <c r="D472" t="s">
        <v>2675</v>
      </c>
      <c r="E472" t="s">
        <v>2007</v>
      </c>
      <c r="F472">
        <v>16</v>
      </c>
      <c r="G472" t="s">
        <v>2012</v>
      </c>
      <c r="H472" t="s">
        <v>2016</v>
      </c>
      <c r="I472" t="s">
        <v>2020</v>
      </c>
      <c r="J472" t="s">
        <v>2023</v>
      </c>
      <c r="K472">
        <v>10</v>
      </c>
      <c r="L472" t="s">
        <v>2033</v>
      </c>
      <c r="M472" t="s">
        <v>2036</v>
      </c>
      <c r="N472" t="str">
        <f t="shared" si="14"/>
        <v>Fail</v>
      </c>
      <c r="O472" t="str">
        <f t="shared" si="15"/>
        <v>UnderAge</v>
      </c>
      <c r="P472" t="str" cm="1">
        <f t="array" ref="P472">_xlfn.IFS(K472&gt;90,"Excellent",K472&gt;80,"Very Good",K472&gt;70,"Good",K472&gt;=50,"Poor",K472&lt;50,"Fail")</f>
        <v>Fail</v>
      </c>
    </row>
    <row r="473" spans="1:16" x14ac:dyDescent="0.25">
      <c r="A473" t="s">
        <v>482</v>
      </c>
      <c r="B473" t="s">
        <v>1481</v>
      </c>
      <c r="C473" t="s">
        <v>2300</v>
      </c>
      <c r="D473" t="s">
        <v>2044</v>
      </c>
      <c r="E473" t="s">
        <v>2007</v>
      </c>
      <c r="F473">
        <v>15</v>
      </c>
      <c r="G473" t="s">
        <v>2009</v>
      </c>
      <c r="H473" t="s">
        <v>2015</v>
      </c>
      <c r="I473" t="s">
        <v>2018</v>
      </c>
      <c r="J473" t="s">
        <v>2023</v>
      </c>
      <c r="K473">
        <v>61</v>
      </c>
      <c r="L473" t="s">
        <v>2030</v>
      </c>
      <c r="M473" t="s">
        <v>2035</v>
      </c>
      <c r="N473" t="str">
        <f t="shared" si="14"/>
        <v>Pass</v>
      </c>
      <c r="O473" t="str">
        <f t="shared" si="15"/>
        <v>UnderAge</v>
      </c>
      <c r="P473" t="str" cm="1">
        <f t="array" ref="P473">_xlfn.IFS(K473&gt;90,"Excellent",K473&gt;80,"Very Good",K473&gt;70,"Good",K473&gt;=50,"Poor",K473&lt;50,"Fail")</f>
        <v>Poor</v>
      </c>
    </row>
    <row r="474" spans="1:16" x14ac:dyDescent="0.25">
      <c r="A474" t="s">
        <v>483</v>
      </c>
      <c r="B474" t="s">
        <v>1482</v>
      </c>
      <c r="C474" t="s">
        <v>2109</v>
      </c>
      <c r="D474" t="s">
        <v>2269</v>
      </c>
      <c r="E474" t="s">
        <v>2008</v>
      </c>
      <c r="F474">
        <v>14</v>
      </c>
      <c r="G474" t="s">
        <v>2010</v>
      </c>
      <c r="H474" t="s">
        <v>2015</v>
      </c>
      <c r="I474" t="s">
        <v>2019</v>
      </c>
      <c r="J474" t="s">
        <v>2024</v>
      </c>
      <c r="K474">
        <v>37</v>
      </c>
      <c r="L474" t="s">
        <v>2028</v>
      </c>
      <c r="M474" t="s">
        <v>2036</v>
      </c>
      <c r="N474" t="str">
        <f t="shared" si="14"/>
        <v>Fail</v>
      </c>
      <c r="O474" t="str">
        <f t="shared" si="15"/>
        <v>UnderAge</v>
      </c>
      <c r="P474" t="str" cm="1">
        <f t="array" ref="P474">_xlfn.IFS(K474&gt;90,"Excellent",K474&gt;80,"Very Good",K474&gt;70,"Good",K474&gt;=50,"Poor",K474&lt;50,"Fail")</f>
        <v>Fail</v>
      </c>
    </row>
    <row r="475" spans="1:16" x14ac:dyDescent="0.25">
      <c r="A475" t="s">
        <v>484</v>
      </c>
      <c r="B475" t="s">
        <v>1483</v>
      </c>
      <c r="C475" t="s">
        <v>2270</v>
      </c>
      <c r="D475" t="s">
        <v>2676</v>
      </c>
      <c r="E475" t="s">
        <v>2008</v>
      </c>
      <c r="F475">
        <v>18</v>
      </c>
      <c r="G475" t="s">
        <v>2012</v>
      </c>
      <c r="H475" t="s">
        <v>2016</v>
      </c>
      <c r="I475" t="s">
        <v>2018</v>
      </c>
      <c r="J475" t="s">
        <v>2023</v>
      </c>
      <c r="K475">
        <v>69</v>
      </c>
      <c r="L475" t="s">
        <v>2031</v>
      </c>
      <c r="M475" t="s">
        <v>2035</v>
      </c>
      <c r="N475" t="str">
        <f t="shared" si="14"/>
        <v>Pass</v>
      </c>
      <c r="O475" t="str">
        <f t="shared" si="15"/>
        <v>Adult</v>
      </c>
      <c r="P475" t="str" cm="1">
        <f t="array" ref="P475">_xlfn.IFS(K475&gt;90,"Excellent",K475&gt;80,"Very Good",K475&gt;70,"Good",K475&gt;=50,"Poor",K475&lt;50,"Fail")</f>
        <v>Poor</v>
      </c>
    </row>
    <row r="476" spans="1:16" x14ac:dyDescent="0.25">
      <c r="A476" t="s">
        <v>485</v>
      </c>
      <c r="B476" t="s">
        <v>1484</v>
      </c>
      <c r="C476" t="s">
        <v>2070</v>
      </c>
      <c r="D476" t="s">
        <v>2677</v>
      </c>
      <c r="E476" t="s">
        <v>2008</v>
      </c>
      <c r="F476">
        <v>17</v>
      </c>
      <c r="G476" t="s">
        <v>2011</v>
      </c>
      <c r="H476" t="s">
        <v>2016</v>
      </c>
      <c r="I476" t="s">
        <v>2020</v>
      </c>
      <c r="J476" t="s">
        <v>2024</v>
      </c>
      <c r="K476">
        <v>18</v>
      </c>
      <c r="L476" t="s">
        <v>2026</v>
      </c>
      <c r="M476" t="s">
        <v>2036</v>
      </c>
      <c r="N476" t="str">
        <f t="shared" si="14"/>
        <v>Fail</v>
      </c>
      <c r="O476" t="str">
        <f t="shared" si="15"/>
        <v>UnderAge</v>
      </c>
      <c r="P476" t="str" cm="1">
        <f t="array" ref="P476">_xlfn.IFS(K476&gt;90,"Excellent",K476&gt;80,"Very Good",K476&gt;70,"Good",K476&gt;=50,"Poor",K476&lt;50,"Fail")</f>
        <v>Fail</v>
      </c>
    </row>
    <row r="477" spans="1:16" x14ac:dyDescent="0.25">
      <c r="A477" t="s">
        <v>486</v>
      </c>
      <c r="B477" t="s">
        <v>1485</v>
      </c>
      <c r="C477" t="s">
        <v>2119</v>
      </c>
      <c r="D477" t="s">
        <v>2625</v>
      </c>
      <c r="E477" t="s">
        <v>2008</v>
      </c>
      <c r="F477">
        <v>18</v>
      </c>
      <c r="G477" t="s">
        <v>2011</v>
      </c>
      <c r="H477" t="s">
        <v>2016</v>
      </c>
      <c r="I477" t="s">
        <v>2020</v>
      </c>
      <c r="J477" t="s">
        <v>2024</v>
      </c>
      <c r="K477">
        <v>100</v>
      </c>
      <c r="L477" t="s">
        <v>2026</v>
      </c>
      <c r="M477" t="s">
        <v>2035</v>
      </c>
      <c r="N477" t="str">
        <f t="shared" si="14"/>
        <v>Pass</v>
      </c>
      <c r="O477" t="str">
        <f t="shared" si="15"/>
        <v>Adult</v>
      </c>
      <c r="P477" t="str" cm="1">
        <f t="array" ref="P477">_xlfn.IFS(K477&gt;90,"Excellent",K477&gt;80,"Very Good",K477&gt;70,"Good",K477&gt;=50,"Poor",K477&lt;50,"Fail")</f>
        <v>Excellent</v>
      </c>
    </row>
    <row r="478" spans="1:16" x14ac:dyDescent="0.25">
      <c r="A478" t="s">
        <v>487</v>
      </c>
      <c r="B478" t="s">
        <v>1486</v>
      </c>
      <c r="C478" t="s">
        <v>2301</v>
      </c>
      <c r="D478" t="s">
        <v>2678</v>
      </c>
      <c r="E478" t="s">
        <v>2007</v>
      </c>
      <c r="F478">
        <v>14</v>
      </c>
      <c r="G478" t="s">
        <v>2009</v>
      </c>
      <c r="H478" t="s">
        <v>2017</v>
      </c>
      <c r="I478" t="s">
        <v>2022</v>
      </c>
      <c r="J478" t="s">
        <v>2023</v>
      </c>
      <c r="K478">
        <v>46</v>
      </c>
      <c r="L478" t="s">
        <v>2029</v>
      </c>
      <c r="M478" t="s">
        <v>2036</v>
      </c>
      <c r="N478" t="str">
        <f t="shared" si="14"/>
        <v>Fail</v>
      </c>
      <c r="O478" t="str">
        <f t="shared" si="15"/>
        <v>UnderAge</v>
      </c>
      <c r="P478" t="str" cm="1">
        <f t="array" ref="P478">_xlfn.IFS(K478&gt;90,"Excellent",K478&gt;80,"Very Good",K478&gt;70,"Good",K478&gt;=50,"Poor",K478&lt;50,"Fail")</f>
        <v>Fail</v>
      </c>
    </row>
    <row r="479" spans="1:16" x14ac:dyDescent="0.25">
      <c r="A479" t="s">
        <v>488</v>
      </c>
      <c r="B479" t="s">
        <v>1487</v>
      </c>
      <c r="C479" t="s">
        <v>2206</v>
      </c>
      <c r="D479" t="s">
        <v>2679</v>
      </c>
      <c r="E479" t="s">
        <v>2008</v>
      </c>
      <c r="F479">
        <v>14</v>
      </c>
      <c r="G479" t="s">
        <v>2010</v>
      </c>
      <c r="H479" t="s">
        <v>2015</v>
      </c>
      <c r="I479" t="s">
        <v>2020</v>
      </c>
      <c r="J479" t="s">
        <v>2024</v>
      </c>
      <c r="K479">
        <v>96</v>
      </c>
      <c r="L479" t="s">
        <v>2026</v>
      </c>
      <c r="M479" t="s">
        <v>2035</v>
      </c>
      <c r="N479" t="str">
        <f t="shared" si="14"/>
        <v>Pass</v>
      </c>
      <c r="O479" t="str">
        <f t="shared" si="15"/>
        <v>UnderAge</v>
      </c>
      <c r="P479" t="str" cm="1">
        <f t="array" ref="P479">_xlfn.IFS(K479&gt;90,"Excellent",K479&gt;80,"Very Good",K479&gt;70,"Good",K479&gt;=50,"Poor",K479&lt;50,"Fail")</f>
        <v>Excellent</v>
      </c>
    </row>
    <row r="480" spans="1:16" x14ac:dyDescent="0.25">
      <c r="A480" t="s">
        <v>489</v>
      </c>
      <c r="B480" t="s">
        <v>1488</v>
      </c>
      <c r="C480" t="s">
        <v>2206</v>
      </c>
      <c r="D480" t="s">
        <v>2058</v>
      </c>
      <c r="E480" t="s">
        <v>2007</v>
      </c>
      <c r="F480">
        <v>14</v>
      </c>
      <c r="G480" t="s">
        <v>2013</v>
      </c>
      <c r="H480" t="s">
        <v>2014</v>
      </c>
      <c r="I480" t="s">
        <v>2020</v>
      </c>
      <c r="J480" t="s">
        <v>2023</v>
      </c>
      <c r="K480">
        <v>16</v>
      </c>
      <c r="L480" t="s">
        <v>2026</v>
      </c>
      <c r="M480" t="s">
        <v>2036</v>
      </c>
      <c r="N480" t="str">
        <f t="shared" si="14"/>
        <v>Fail</v>
      </c>
      <c r="O480" t="str">
        <f t="shared" si="15"/>
        <v>UnderAge</v>
      </c>
      <c r="P480" t="str" cm="1">
        <f t="array" ref="P480">_xlfn.IFS(K480&gt;90,"Excellent",K480&gt;80,"Very Good",K480&gt;70,"Good",K480&gt;=50,"Poor",K480&lt;50,"Fail")</f>
        <v>Fail</v>
      </c>
    </row>
    <row r="481" spans="1:16" x14ac:dyDescent="0.25">
      <c r="A481" t="s">
        <v>490</v>
      </c>
      <c r="B481" t="s">
        <v>1489</v>
      </c>
      <c r="C481" t="s">
        <v>2199</v>
      </c>
      <c r="D481" t="s">
        <v>2052</v>
      </c>
      <c r="E481" t="s">
        <v>2008</v>
      </c>
      <c r="F481">
        <v>17</v>
      </c>
      <c r="G481" t="s">
        <v>2013</v>
      </c>
      <c r="H481" t="s">
        <v>2017</v>
      </c>
      <c r="I481" t="s">
        <v>2021</v>
      </c>
      <c r="J481" t="s">
        <v>2023</v>
      </c>
      <c r="K481">
        <v>57</v>
      </c>
      <c r="L481" t="s">
        <v>2033</v>
      </c>
      <c r="M481" t="s">
        <v>2035</v>
      </c>
      <c r="N481" t="str">
        <f t="shared" si="14"/>
        <v>Pass</v>
      </c>
      <c r="O481" t="str">
        <f t="shared" si="15"/>
        <v>UnderAge</v>
      </c>
      <c r="P481" t="str" cm="1">
        <f t="array" ref="P481">_xlfn.IFS(K481&gt;90,"Excellent",K481&gt;80,"Very Good",K481&gt;70,"Good",K481&gt;=50,"Poor",K481&lt;50,"Fail")</f>
        <v>Poor</v>
      </c>
    </row>
    <row r="482" spans="1:16" x14ac:dyDescent="0.25">
      <c r="A482" t="s">
        <v>491</v>
      </c>
      <c r="B482" t="s">
        <v>1490</v>
      </c>
      <c r="C482" t="s">
        <v>2302</v>
      </c>
      <c r="D482" t="s">
        <v>2461</v>
      </c>
      <c r="E482" t="s">
        <v>2007</v>
      </c>
      <c r="F482">
        <v>14</v>
      </c>
      <c r="G482" t="s">
        <v>2010</v>
      </c>
      <c r="H482" t="s">
        <v>2016</v>
      </c>
      <c r="I482" t="s">
        <v>2022</v>
      </c>
      <c r="J482" t="s">
        <v>2023</v>
      </c>
      <c r="K482">
        <v>21</v>
      </c>
      <c r="L482" t="s">
        <v>2032</v>
      </c>
      <c r="M482" t="s">
        <v>2036</v>
      </c>
      <c r="N482" t="str">
        <f t="shared" si="14"/>
        <v>Fail</v>
      </c>
      <c r="O482" t="str">
        <f t="shared" si="15"/>
        <v>UnderAge</v>
      </c>
      <c r="P482" t="str" cm="1">
        <f t="array" ref="P482">_xlfn.IFS(K482&gt;90,"Excellent",K482&gt;80,"Very Good",K482&gt;70,"Good",K482&gt;=50,"Poor",K482&lt;50,"Fail")</f>
        <v>Fail</v>
      </c>
    </row>
    <row r="483" spans="1:16" x14ac:dyDescent="0.25">
      <c r="A483" t="s">
        <v>492</v>
      </c>
      <c r="B483" t="s">
        <v>1491</v>
      </c>
      <c r="C483" t="s">
        <v>2303</v>
      </c>
      <c r="D483" t="s">
        <v>2439</v>
      </c>
      <c r="E483" t="s">
        <v>2007</v>
      </c>
      <c r="F483">
        <v>14</v>
      </c>
      <c r="G483" t="s">
        <v>2012</v>
      </c>
      <c r="H483" t="s">
        <v>2016</v>
      </c>
      <c r="I483" t="s">
        <v>2018</v>
      </c>
      <c r="J483" t="s">
        <v>2023</v>
      </c>
      <c r="K483">
        <v>86</v>
      </c>
      <c r="L483" t="s">
        <v>2034</v>
      </c>
      <c r="M483" t="s">
        <v>2035</v>
      </c>
      <c r="N483" t="str">
        <f t="shared" si="14"/>
        <v>Pass</v>
      </c>
      <c r="O483" t="str">
        <f t="shared" si="15"/>
        <v>UnderAge</v>
      </c>
      <c r="P483" t="str" cm="1">
        <f t="array" ref="P483">_xlfn.IFS(K483&gt;90,"Excellent",K483&gt;80,"Very Good",K483&gt;70,"Good",K483&gt;=50,"Poor",K483&lt;50,"Fail")</f>
        <v>Very Good</v>
      </c>
    </row>
    <row r="484" spans="1:16" x14ac:dyDescent="0.25">
      <c r="A484" t="s">
        <v>493</v>
      </c>
      <c r="B484" t="s">
        <v>1492</v>
      </c>
      <c r="C484" t="s">
        <v>2169</v>
      </c>
      <c r="D484" t="s">
        <v>2680</v>
      </c>
      <c r="E484" t="s">
        <v>2007</v>
      </c>
      <c r="F484">
        <v>16</v>
      </c>
      <c r="G484" t="s">
        <v>2012</v>
      </c>
      <c r="H484" t="s">
        <v>2015</v>
      </c>
      <c r="I484" t="s">
        <v>2020</v>
      </c>
      <c r="J484" t="s">
        <v>2024</v>
      </c>
      <c r="K484">
        <v>72</v>
      </c>
      <c r="L484" t="s">
        <v>2026</v>
      </c>
      <c r="M484" t="s">
        <v>2035</v>
      </c>
      <c r="N484" t="str">
        <f t="shared" si="14"/>
        <v>Pass</v>
      </c>
      <c r="O484" t="str">
        <f t="shared" si="15"/>
        <v>UnderAge</v>
      </c>
      <c r="P484" t="str" cm="1">
        <f t="array" ref="P484">_xlfn.IFS(K484&gt;90,"Excellent",K484&gt;80,"Very Good",K484&gt;70,"Good",K484&gt;=50,"Poor",K484&lt;50,"Fail")</f>
        <v>Good</v>
      </c>
    </row>
    <row r="485" spans="1:16" x14ac:dyDescent="0.25">
      <c r="A485" t="s">
        <v>494</v>
      </c>
      <c r="B485" t="s">
        <v>1493</v>
      </c>
      <c r="C485" t="s">
        <v>2109</v>
      </c>
      <c r="D485" t="s">
        <v>2230</v>
      </c>
      <c r="E485" t="s">
        <v>2007</v>
      </c>
      <c r="F485">
        <v>15</v>
      </c>
      <c r="G485" t="s">
        <v>2009</v>
      </c>
      <c r="H485" t="s">
        <v>2016</v>
      </c>
      <c r="I485" t="s">
        <v>2020</v>
      </c>
      <c r="J485" t="s">
        <v>2024</v>
      </c>
      <c r="K485">
        <v>20</v>
      </c>
      <c r="L485" t="s">
        <v>2025</v>
      </c>
      <c r="M485" t="s">
        <v>2036</v>
      </c>
      <c r="N485" t="str">
        <f t="shared" si="14"/>
        <v>Fail</v>
      </c>
      <c r="O485" t="str">
        <f t="shared" si="15"/>
        <v>UnderAge</v>
      </c>
      <c r="P485" t="str" cm="1">
        <f t="array" ref="P485">_xlfn.IFS(K485&gt;90,"Excellent",K485&gt;80,"Very Good",K485&gt;70,"Good",K485&gt;=50,"Poor",K485&lt;50,"Fail")</f>
        <v>Fail</v>
      </c>
    </row>
    <row r="486" spans="1:16" x14ac:dyDescent="0.25">
      <c r="A486" t="s">
        <v>495</v>
      </c>
      <c r="B486" t="s">
        <v>1494</v>
      </c>
      <c r="C486" t="s">
        <v>2304</v>
      </c>
      <c r="D486" t="s">
        <v>2539</v>
      </c>
      <c r="E486" t="s">
        <v>2007</v>
      </c>
      <c r="F486">
        <v>15</v>
      </c>
      <c r="G486" t="s">
        <v>2009</v>
      </c>
      <c r="H486" t="s">
        <v>2014</v>
      </c>
      <c r="I486" t="s">
        <v>2020</v>
      </c>
      <c r="J486" t="s">
        <v>2024</v>
      </c>
      <c r="K486">
        <v>37</v>
      </c>
      <c r="L486" t="s">
        <v>2032</v>
      </c>
      <c r="M486" t="s">
        <v>2036</v>
      </c>
      <c r="N486" t="str">
        <f t="shared" si="14"/>
        <v>Fail</v>
      </c>
      <c r="O486" t="str">
        <f t="shared" si="15"/>
        <v>UnderAge</v>
      </c>
      <c r="P486" t="str" cm="1">
        <f t="array" ref="P486">_xlfn.IFS(K486&gt;90,"Excellent",K486&gt;80,"Very Good",K486&gt;70,"Good",K486&gt;=50,"Poor",K486&lt;50,"Fail")</f>
        <v>Fail</v>
      </c>
    </row>
    <row r="487" spans="1:16" x14ac:dyDescent="0.25">
      <c r="A487" t="s">
        <v>496</v>
      </c>
      <c r="B487" t="s">
        <v>1495</v>
      </c>
      <c r="C487" t="s">
        <v>2254</v>
      </c>
      <c r="D487" t="s">
        <v>2536</v>
      </c>
      <c r="E487" t="s">
        <v>2008</v>
      </c>
      <c r="F487">
        <v>16</v>
      </c>
      <c r="G487" t="s">
        <v>2009</v>
      </c>
      <c r="H487" t="s">
        <v>2017</v>
      </c>
      <c r="I487" t="s">
        <v>2021</v>
      </c>
      <c r="J487" t="s">
        <v>2024</v>
      </c>
      <c r="K487">
        <v>31</v>
      </c>
      <c r="L487" t="s">
        <v>2026</v>
      </c>
      <c r="M487" t="s">
        <v>2036</v>
      </c>
      <c r="N487" t="str">
        <f t="shared" si="14"/>
        <v>Fail</v>
      </c>
      <c r="O487" t="str">
        <f t="shared" si="15"/>
        <v>UnderAge</v>
      </c>
      <c r="P487" t="str" cm="1">
        <f t="array" ref="P487">_xlfn.IFS(K487&gt;90,"Excellent",K487&gt;80,"Very Good",K487&gt;70,"Good",K487&gt;=50,"Poor",K487&lt;50,"Fail")</f>
        <v>Fail</v>
      </c>
    </row>
    <row r="488" spans="1:16" x14ac:dyDescent="0.25">
      <c r="A488" t="s">
        <v>497</v>
      </c>
      <c r="B488" t="s">
        <v>1496</v>
      </c>
      <c r="C488" t="s">
        <v>2073</v>
      </c>
      <c r="D488" t="s">
        <v>2058</v>
      </c>
      <c r="E488" t="s">
        <v>2007</v>
      </c>
      <c r="F488">
        <v>14</v>
      </c>
      <c r="G488" t="s">
        <v>2013</v>
      </c>
      <c r="H488" t="s">
        <v>2014</v>
      </c>
      <c r="I488" t="s">
        <v>2021</v>
      </c>
      <c r="J488" t="s">
        <v>2023</v>
      </c>
      <c r="K488">
        <v>36</v>
      </c>
      <c r="L488" t="s">
        <v>2030</v>
      </c>
      <c r="M488" t="s">
        <v>2036</v>
      </c>
      <c r="N488" t="str">
        <f t="shared" si="14"/>
        <v>Fail</v>
      </c>
      <c r="O488" t="str">
        <f t="shared" si="15"/>
        <v>UnderAge</v>
      </c>
      <c r="P488" t="str" cm="1">
        <f t="array" ref="P488">_xlfn.IFS(K488&gt;90,"Excellent",K488&gt;80,"Very Good",K488&gt;70,"Good",K488&gt;=50,"Poor",K488&lt;50,"Fail")</f>
        <v>Fail</v>
      </c>
    </row>
    <row r="489" spans="1:16" x14ac:dyDescent="0.25">
      <c r="A489" t="s">
        <v>498</v>
      </c>
      <c r="B489" t="s">
        <v>1497</v>
      </c>
      <c r="C489" t="s">
        <v>2271</v>
      </c>
      <c r="D489" t="s">
        <v>2681</v>
      </c>
      <c r="E489" t="s">
        <v>2007</v>
      </c>
      <c r="F489">
        <v>17</v>
      </c>
      <c r="G489" t="s">
        <v>2013</v>
      </c>
      <c r="H489" t="s">
        <v>2015</v>
      </c>
      <c r="I489" t="s">
        <v>2021</v>
      </c>
      <c r="J489" t="s">
        <v>2024</v>
      </c>
      <c r="K489">
        <v>26</v>
      </c>
      <c r="L489" t="s">
        <v>2032</v>
      </c>
      <c r="M489" t="s">
        <v>2036</v>
      </c>
      <c r="N489" t="str">
        <f t="shared" si="14"/>
        <v>Fail</v>
      </c>
      <c r="O489" t="str">
        <f t="shared" si="15"/>
        <v>UnderAge</v>
      </c>
      <c r="P489" t="str" cm="1">
        <f t="array" ref="P489">_xlfn.IFS(K489&gt;90,"Excellent",K489&gt;80,"Very Good",K489&gt;70,"Good",K489&gt;=50,"Poor",K489&lt;50,"Fail")</f>
        <v>Fail</v>
      </c>
    </row>
    <row r="490" spans="1:16" x14ac:dyDescent="0.25">
      <c r="A490" t="s">
        <v>499</v>
      </c>
      <c r="B490" t="s">
        <v>1498</v>
      </c>
      <c r="C490" t="s">
        <v>2305</v>
      </c>
      <c r="D490" t="s">
        <v>2553</v>
      </c>
      <c r="E490" t="s">
        <v>2007</v>
      </c>
      <c r="F490">
        <v>16</v>
      </c>
      <c r="G490" t="s">
        <v>2012</v>
      </c>
      <c r="H490" t="s">
        <v>2016</v>
      </c>
      <c r="I490" t="s">
        <v>2018</v>
      </c>
      <c r="J490" t="s">
        <v>2023</v>
      </c>
      <c r="K490">
        <v>2</v>
      </c>
      <c r="L490" t="s">
        <v>2034</v>
      </c>
      <c r="M490" t="s">
        <v>2036</v>
      </c>
      <c r="N490" t="str">
        <f t="shared" si="14"/>
        <v>Fail</v>
      </c>
      <c r="O490" t="str">
        <f t="shared" si="15"/>
        <v>UnderAge</v>
      </c>
      <c r="P490" t="str" cm="1">
        <f t="array" ref="P490">_xlfn.IFS(K490&gt;90,"Excellent",K490&gt;80,"Very Good",K490&gt;70,"Good",K490&gt;=50,"Poor",K490&lt;50,"Fail")</f>
        <v>Fail</v>
      </c>
    </row>
    <row r="491" spans="1:16" x14ac:dyDescent="0.25">
      <c r="A491" t="s">
        <v>500</v>
      </c>
      <c r="B491" t="s">
        <v>1499</v>
      </c>
      <c r="C491" t="s">
        <v>2259</v>
      </c>
      <c r="D491" t="s">
        <v>2044</v>
      </c>
      <c r="E491" t="s">
        <v>2007</v>
      </c>
      <c r="F491">
        <v>17</v>
      </c>
      <c r="G491" t="s">
        <v>2012</v>
      </c>
      <c r="H491" t="s">
        <v>2016</v>
      </c>
      <c r="I491" t="s">
        <v>2021</v>
      </c>
      <c r="J491" t="s">
        <v>2024</v>
      </c>
      <c r="K491">
        <v>15</v>
      </c>
      <c r="L491" t="s">
        <v>2034</v>
      </c>
      <c r="M491" t="s">
        <v>2036</v>
      </c>
      <c r="N491" t="str">
        <f t="shared" si="14"/>
        <v>Fail</v>
      </c>
      <c r="O491" t="str">
        <f t="shared" si="15"/>
        <v>UnderAge</v>
      </c>
      <c r="P491" t="str" cm="1">
        <f t="array" ref="P491">_xlfn.IFS(K491&gt;90,"Excellent",K491&gt;80,"Very Good",K491&gt;70,"Good",K491&gt;=50,"Poor",K491&lt;50,"Fail")</f>
        <v>Fail</v>
      </c>
    </row>
    <row r="492" spans="1:16" x14ac:dyDescent="0.25">
      <c r="A492" t="s">
        <v>501</v>
      </c>
      <c r="B492" t="s">
        <v>1500</v>
      </c>
      <c r="C492" t="s">
        <v>2152</v>
      </c>
      <c r="D492" t="s">
        <v>2682</v>
      </c>
      <c r="E492" t="s">
        <v>2007</v>
      </c>
      <c r="F492">
        <v>16</v>
      </c>
      <c r="G492" t="s">
        <v>2010</v>
      </c>
      <c r="H492" t="s">
        <v>2015</v>
      </c>
      <c r="I492" t="s">
        <v>2021</v>
      </c>
      <c r="J492" t="s">
        <v>2024</v>
      </c>
      <c r="K492">
        <v>44</v>
      </c>
      <c r="L492" t="s">
        <v>2031</v>
      </c>
      <c r="M492" t="s">
        <v>2036</v>
      </c>
      <c r="N492" t="str">
        <f t="shared" si="14"/>
        <v>Fail</v>
      </c>
      <c r="O492" t="str">
        <f t="shared" si="15"/>
        <v>UnderAge</v>
      </c>
      <c r="P492" t="str" cm="1">
        <f t="array" ref="P492">_xlfn.IFS(K492&gt;90,"Excellent",K492&gt;80,"Very Good",K492&gt;70,"Good",K492&gt;=50,"Poor",K492&lt;50,"Fail")</f>
        <v>Fail</v>
      </c>
    </row>
    <row r="493" spans="1:16" x14ac:dyDescent="0.25">
      <c r="A493" t="s">
        <v>502</v>
      </c>
      <c r="B493" t="s">
        <v>1501</v>
      </c>
      <c r="C493" t="s">
        <v>2306</v>
      </c>
      <c r="D493" t="s">
        <v>2465</v>
      </c>
      <c r="E493" t="s">
        <v>2007</v>
      </c>
      <c r="F493">
        <v>15</v>
      </c>
      <c r="G493" t="s">
        <v>2013</v>
      </c>
      <c r="H493" t="s">
        <v>2015</v>
      </c>
      <c r="I493" t="s">
        <v>2019</v>
      </c>
      <c r="J493" t="s">
        <v>2024</v>
      </c>
      <c r="K493">
        <v>23</v>
      </c>
      <c r="L493" t="s">
        <v>2028</v>
      </c>
      <c r="M493" t="s">
        <v>2036</v>
      </c>
      <c r="N493" t="str">
        <f t="shared" si="14"/>
        <v>Fail</v>
      </c>
      <c r="O493" t="str">
        <f t="shared" si="15"/>
        <v>UnderAge</v>
      </c>
      <c r="P493" t="str" cm="1">
        <f t="array" ref="P493">_xlfn.IFS(K493&gt;90,"Excellent",K493&gt;80,"Very Good",K493&gt;70,"Good",K493&gt;=50,"Poor",K493&lt;50,"Fail")</f>
        <v>Fail</v>
      </c>
    </row>
    <row r="494" spans="1:16" x14ac:dyDescent="0.25">
      <c r="A494" t="s">
        <v>503</v>
      </c>
      <c r="B494" t="s">
        <v>1502</v>
      </c>
      <c r="C494" t="s">
        <v>2307</v>
      </c>
      <c r="D494" t="s">
        <v>2683</v>
      </c>
      <c r="E494" t="s">
        <v>2008</v>
      </c>
      <c r="F494">
        <v>16</v>
      </c>
      <c r="G494" t="s">
        <v>2009</v>
      </c>
      <c r="H494" t="s">
        <v>2015</v>
      </c>
      <c r="I494" t="s">
        <v>2019</v>
      </c>
      <c r="J494" t="s">
        <v>2023</v>
      </c>
      <c r="K494">
        <v>22</v>
      </c>
      <c r="L494" t="s">
        <v>2029</v>
      </c>
      <c r="M494" t="s">
        <v>2036</v>
      </c>
      <c r="N494" t="str">
        <f t="shared" si="14"/>
        <v>Fail</v>
      </c>
      <c r="O494" t="str">
        <f t="shared" si="15"/>
        <v>UnderAge</v>
      </c>
      <c r="P494" t="str" cm="1">
        <f t="array" ref="P494">_xlfn.IFS(K494&gt;90,"Excellent",K494&gt;80,"Very Good",K494&gt;70,"Good",K494&gt;=50,"Poor",K494&lt;50,"Fail")</f>
        <v>Fail</v>
      </c>
    </row>
    <row r="495" spans="1:16" x14ac:dyDescent="0.25">
      <c r="A495" t="s">
        <v>504</v>
      </c>
      <c r="B495" t="s">
        <v>1503</v>
      </c>
      <c r="C495" t="s">
        <v>2175</v>
      </c>
      <c r="D495" t="s">
        <v>2535</v>
      </c>
      <c r="E495" t="s">
        <v>2007</v>
      </c>
      <c r="F495">
        <v>17</v>
      </c>
      <c r="G495" t="s">
        <v>2012</v>
      </c>
      <c r="H495" t="s">
        <v>2014</v>
      </c>
      <c r="I495" t="s">
        <v>2018</v>
      </c>
      <c r="J495" t="s">
        <v>2023</v>
      </c>
      <c r="K495">
        <v>16</v>
      </c>
      <c r="L495" t="s">
        <v>2026</v>
      </c>
      <c r="M495" t="s">
        <v>2036</v>
      </c>
      <c r="N495" t="str">
        <f t="shared" si="14"/>
        <v>Fail</v>
      </c>
      <c r="O495" t="str">
        <f t="shared" si="15"/>
        <v>UnderAge</v>
      </c>
      <c r="P495" t="str" cm="1">
        <f t="array" ref="P495">_xlfn.IFS(K495&gt;90,"Excellent",K495&gt;80,"Very Good",K495&gt;70,"Good",K495&gt;=50,"Poor",K495&lt;50,"Fail")</f>
        <v>Fail</v>
      </c>
    </row>
    <row r="496" spans="1:16" x14ac:dyDescent="0.25">
      <c r="A496" t="s">
        <v>505</v>
      </c>
      <c r="B496" t="s">
        <v>1504</v>
      </c>
      <c r="C496" t="s">
        <v>2113</v>
      </c>
      <c r="D496" t="s">
        <v>2619</v>
      </c>
      <c r="E496" t="s">
        <v>2007</v>
      </c>
      <c r="F496">
        <v>18</v>
      </c>
      <c r="G496" t="s">
        <v>2013</v>
      </c>
      <c r="H496" t="s">
        <v>2015</v>
      </c>
      <c r="I496" t="s">
        <v>2022</v>
      </c>
      <c r="J496" t="s">
        <v>2024</v>
      </c>
      <c r="K496">
        <v>68</v>
      </c>
      <c r="L496" t="s">
        <v>2031</v>
      </c>
      <c r="M496" t="s">
        <v>2035</v>
      </c>
      <c r="N496" t="str">
        <f t="shared" si="14"/>
        <v>Pass</v>
      </c>
      <c r="O496" t="str">
        <f t="shared" si="15"/>
        <v>Adult</v>
      </c>
      <c r="P496" t="str" cm="1">
        <f t="array" ref="P496">_xlfn.IFS(K496&gt;90,"Excellent",K496&gt;80,"Very Good",K496&gt;70,"Good",K496&gt;=50,"Poor",K496&lt;50,"Fail")</f>
        <v>Poor</v>
      </c>
    </row>
    <row r="497" spans="1:16" x14ac:dyDescent="0.25">
      <c r="A497" t="s">
        <v>506</v>
      </c>
      <c r="B497" t="s">
        <v>1505</v>
      </c>
      <c r="C497" t="s">
        <v>2065</v>
      </c>
      <c r="D497" t="s">
        <v>2471</v>
      </c>
      <c r="E497" t="s">
        <v>2007</v>
      </c>
      <c r="F497">
        <v>15</v>
      </c>
      <c r="G497" t="s">
        <v>2011</v>
      </c>
      <c r="H497" t="s">
        <v>2017</v>
      </c>
      <c r="I497" t="s">
        <v>2019</v>
      </c>
      <c r="J497" t="s">
        <v>2023</v>
      </c>
      <c r="K497">
        <v>80</v>
      </c>
      <c r="L497" t="s">
        <v>2034</v>
      </c>
      <c r="M497" t="s">
        <v>2035</v>
      </c>
      <c r="N497" t="str">
        <f t="shared" si="14"/>
        <v>Pass</v>
      </c>
      <c r="O497" t="str">
        <f t="shared" si="15"/>
        <v>UnderAge</v>
      </c>
      <c r="P497" t="str" cm="1">
        <f t="array" ref="P497">_xlfn.IFS(K497&gt;90,"Excellent",K497&gt;80,"Very Good",K497&gt;70,"Good",K497&gt;=50,"Poor",K497&lt;50,"Fail")</f>
        <v>Good</v>
      </c>
    </row>
    <row r="498" spans="1:16" x14ac:dyDescent="0.25">
      <c r="A498" t="s">
        <v>507</v>
      </c>
      <c r="B498" t="s">
        <v>1506</v>
      </c>
      <c r="C498" t="s">
        <v>2202</v>
      </c>
      <c r="D498" t="s">
        <v>2684</v>
      </c>
      <c r="E498" t="s">
        <v>2007</v>
      </c>
      <c r="F498">
        <v>15</v>
      </c>
      <c r="G498" t="s">
        <v>2011</v>
      </c>
      <c r="H498" t="s">
        <v>2017</v>
      </c>
      <c r="I498" t="s">
        <v>2019</v>
      </c>
      <c r="J498" t="s">
        <v>2024</v>
      </c>
      <c r="K498">
        <v>23</v>
      </c>
      <c r="L498" t="s">
        <v>2028</v>
      </c>
      <c r="M498" t="s">
        <v>2036</v>
      </c>
      <c r="N498" t="str">
        <f t="shared" si="14"/>
        <v>Fail</v>
      </c>
      <c r="O498" t="str">
        <f t="shared" si="15"/>
        <v>UnderAge</v>
      </c>
      <c r="P498" t="str" cm="1">
        <f t="array" ref="P498">_xlfn.IFS(K498&gt;90,"Excellent",K498&gt;80,"Very Good",K498&gt;70,"Good",K498&gt;=50,"Poor",K498&lt;50,"Fail")</f>
        <v>Fail</v>
      </c>
    </row>
    <row r="499" spans="1:16" x14ac:dyDescent="0.25">
      <c r="A499" t="s">
        <v>508</v>
      </c>
      <c r="B499" t="s">
        <v>1507</v>
      </c>
      <c r="C499" t="s">
        <v>2213</v>
      </c>
      <c r="D499" t="s">
        <v>2477</v>
      </c>
      <c r="E499" t="s">
        <v>2008</v>
      </c>
      <c r="F499">
        <v>18</v>
      </c>
      <c r="G499" t="s">
        <v>2011</v>
      </c>
      <c r="H499" t="s">
        <v>2016</v>
      </c>
      <c r="I499" t="s">
        <v>2021</v>
      </c>
      <c r="J499" t="s">
        <v>2024</v>
      </c>
      <c r="K499">
        <v>59</v>
      </c>
      <c r="L499" t="s">
        <v>2027</v>
      </c>
      <c r="M499" t="s">
        <v>2035</v>
      </c>
      <c r="N499" t="str">
        <f t="shared" si="14"/>
        <v>Pass</v>
      </c>
      <c r="O499" t="str">
        <f t="shared" si="15"/>
        <v>Adult</v>
      </c>
      <c r="P499" t="str" cm="1">
        <f t="array" ref="P499">_xlfn.IFS(K499&gt;90,"Excellent",K499&gt;80,"Very Good",K499&gt;70,"Good",K499&gt;=50,"Poor",K499&lt;50,"Fail")</f>
        <v>Poor</v>
      </c>
    </row>
    <row r="500" spans="1:16" x14ac:dyDescent="0.25">
      <c r="A500" t="s">
        <v>509</v>
      </c>
      <c r="B500" t="s">
        <v>1508</v>
      </c>
      <c r="C500" t="s">
        <v>2190</v>
      </c>
      <c r="D500" t="s">
        <v>2272</v>
      </c>
      <c r="E500" t="s">
        <v>2008</v>
      </c>
      <c r="F500">
        <v>17</v>
      </c>
      <c r="G500" t="s">
        <v>2010</v>
      </c>
      <c r="H500" t="s">
        <v>2016</v>
      </c>
      <c r="I500" t="s">
        <v>2021</v>
      </c>
      <c r="J500" t="s">
        <v>2024</v>
      </c>
      <c r="K500">
        <v>66</v>
      </c>
      <c r="L500" t="s">
        <v>2034</v>
      </c>
      <c r="M500" t="s">
        <v>2035</v>
      </c>
      <c r="N500" t="str">
        <f t="shared" si="14"/>
        <v>Pass</v>
      </c>
      <c r="O500" t="str">
        <f t="shared" si="15"/>
        <v>UnderAge</v>
      </c>
      <c r="P500" t="str" cm="1">
        <f t="array" ref="P500">_xlfn.IFS(K500&gt;90,"Excellent",K500&gt;80,"Very Good",K500&gt;70,"Good",K500&gt;=50,"Poor",K500&lt;50,"Fail")</f>
        <v>Poor</v>
      </c>
    </row>
    <row r="501" spans="1:16" x14ac:dyDescent="0.25">
      <c r="A501" t="s">
        <v>510</v>
      </c>
      <c r="B501" t="s">
        <v>1509</v>
      </c>
      <c r="C501" t="s">
        <v>2308</v>
      </c>
      <c r="D501" t="s">
        <v>2685</v>
      </c>
      <c r="E501" t="s">
        <v>2007</v>
      </c>
      <c r="F501">
        <v>15</v>
      </c>
      <c r="G501" t="s">
        <v>2013</v>
      </c>
      <c r="H501" t="s">
        <v>2015</v>
      </c>
      <c r="I501" t="s">
        <v>2018</v>
      </c>
      <c r="J501" t="s">
        <v>2024</v>
      </c>
      <c r="K501">
        <v>86</v>
      </c>
      <c r="L501" t="s">
        <v>2034</v>
      </c>
      <c r="M501" t="s">
        <v>2035</v>
      </c>
      <c r="N501" t="str">
        <f t="shared" si="14"/>
        <v>Pass</v>
      </c>
      <c r="O501" t="str">
        <f t="shared" si="15"/>
        <v>UnderAge</v>
      </c>
      <c r="P501" t="str" cm="1">
        <f t="array" ref="P501">_xlfn.IFS(K501&gt;90,"Excellent",K501&gt;80,"Very Good",K501&gt;70,"Good",K501&gt;=50,"Poor",K501&lt;50,"Fail")</f>
        <v>Very Good</v>
      </c>
    </row>
    <row r="502" spans="1:16" x14ac:dyDescent="0.25">
      <c r="A502" t="s">
        <v>511</v>
      </c>
      <c r="B502" t="s">
        <v>1510</v>
      </c>
      <c r="C502" t="s">
        <v>2309</v>
      </c>
      <c r="D502" t="s">
        <v>2617</v>
      </c>
      <c r="E502" t="s">
        <v>2008</v>
      </c>
      <c r="F502">
        <v>18</v>
      </c>
      <c r="G502" t="s">
        <v>2010</v>
      </c>
      <c r="H502" t="s">
        <v>2014</v>
      </c>
      <c r="I502" t="s">
        <v>2021</v>
      </c>
      <c r="J502" t="s">
        <v>2024</v>
      </c>
      <c r="K502">
        <v>2</v>
      </c>
      <c r="L502" t="s">
        <v>2033</v>
      </c>
      <c r="M502" t="s">
        <v>2036</v>
      </c>
      <c r="N502" t="str">
        <f t="shared" si="14"/>
        <v>Fail</v>
      </c>
      <c r="O502" t="str">
        <f t="shared" si="15"/>
        <v>Adult</v>
      </c>
      <c r="P502" t="str" cm="1">
        <f t="array" ref="P502">_xlfn.IFS(K502&gt;90,"Excellent",K502&gt;80,"Very Good",K502&gt;70,"Good",K502&gt;=50,"Poor",K502&lt;50,"Fail")</f>
        <v>Fail</v>
      </c>
    </row>
    <row r="503" spans="1:16" x14ac:dyDescent="0.25">
      <c r="A503" t="s">
        <v>512</v>
      </c>
      <c r="B503" t="s">
        <v>1511</v>
      </c>
      <c r="C503" t="s">
        <v>2310</v>
      </c>
      <c r="D503" t="s">
        <v>2058</v>
      </c>
      <c r="E503" t="s">
        <v>2007</v>
      </c>
      <c r="F503">
        <v>17</v>
      </c>
      <c r="G503" t="s">
        <v>2011</v>
      </c>
      <c r="H503" t="s">
        <v>2017</v>
      </c>
      <c r="I503" t="s">
        <v>2021</v>
      </c>
      <c r="J503" t="s">
        <v>2024</v>
      </c>
      <c r="K503">
        <v>21</v>
      </c>
      <c r="L503" t="s">
        <v>2028</v>
      </c>
      <c r="M503" t="s">
        <v>2036</v>
      </c>
      <c r="N503" t="str">
        <f t="shared" si="14"/>
        <v>Fail</v>
      </c>
      <c r="O503" t="str">
        <f t="shared" si="15"/>
        <v>UnderAge</v>
      </c>
      <c r="P503" t="str" cm="1">
        <f t="array" ref="P503">_xlfn.IFS(K503&gt;90,"Excellent",K503&gt;80,"Very Good",K503&gt;70,"Good",K503&gt;=50,"Poor",K503&lt;50,"Fail")</f>
        <v>Fail</v>
      </c>
    </row>
    <row r="504" spans="1:16" x14ac:dyDescent="0.25">
      <c r="A504" t="s">
        <v>513</v>
      </c>
      <c r="B504" t="s">
        <v>1512</v>
      </c>
      <c r="C504" t="s">
        <v>2148</v>
      </c>
      <c r="D504" t="s">
        <v>2618</v>
      </c>
      <c r="E504" t="s">
        <v>2007</v>
      </c>
      <c r="F504">
        <v>17</v>
      </c>
      <c r="G504" t="s">
        <v>2012</v>
      </c>
      <c r="H504" t="s">
        <v>2016</v>
      </c>
      <c r="I504" t="s">
        <v>2021</v>
      </c>
      <c r="J504" t="s">
        <v>2023</v>
      </c>
      <c r="K504">
        <v>43</v>
      </c>
      <c r="L504" t="s">
        <v>2030</v>
      </c>
      <c r="M504" t="s">
        <v>2036</v>
      </c>
      <c r="N504" t="str">
        <f t="shared" si="14"/>
        <v>Fail</v>
      </c>
      <c r="O504" t="str">
        <f t="shared" si="15"/>
        <v>UnderAge</v>
      </c>
      <c r="P504" t="str" cm="1">
        <f t="array" ref="P504">_xlfn.IFS(K504&gt;90,"Excellent",K504&gt;80,"Very Good",K504&gt;70,"Good",K504&gt;=50,"Poor",K504&lt;50,"Fail")</f>
        <v>Fail</v>
      </c>
    </row>
    <row r="505" spans="1:16" x14ac:dyDescent="0.25">
      <c r="A505" t="s">
        <v>514</v>
      </c>
      <c r="B505" t="s">
        <v>1513</v>
      </c>
      <c r="C505" t="s">
        <v>2109</v>
      </c>
      <c r="D505" t="s">
        <v>2686</v>
      </c>
      <c r="E505" t="s">
        <v>2007</v>
      </c>
      <c r="F505">
        <v>14</v>
      </c>
      <c r="G505" t="s">
        <v>2010</v>
      </c>
      <c r="H505" t="s">
        <v>2016</v>
      </c>
      <c r="I505" t="s">
        <v>2019</v>
      </c>
      <c r="J505" t="s">
        <v>2023</v>
      </c>
      <c r="K505">
        <v>90</v>
      </c>
      <c r="L505" t="s">
        <v>2030</v>
      </c>
      <c r="M505" t="s">
        <v>2035</v>
      </c>
      <c r="N505" t="str">
        <f t="shared" si="14"/>
        <v>Pass</v>
      </c>
      <c r="O505" t="str">
        <f t="shared" si="15"/>
        <v>UnderAge</v>
      </c>
      <c r="P505" t="str" cm="1">
        <f t="array" ref="P505">_xlfn.IFS(K505&gt;90,"Excellent",K505&gt;80,"Very Good",K505&gt;70,"Good",K505&gt;=50,"Poor",K505&lt;50,"Fail")</f>
        <v>Very Good</v>
      </c>
    </row>
    <row r="506" spans="1:16" x14ac:dyDescent="0.25">
      <c r="A506" t="s">
        <v>515</v>
      </c>
      <c r="B506" t="s">
        <v>1514</v>
      </c>
      <c r="C506" t="s">
        <v>2107</v>
      </c>
      <c r="D506" t="s">
        <v>2455</v>
      </c>
      <c r="E506" t="s">
        <v>2008</v>
      </c>
      <c r="F506">
        <v>14</v>
      </c>
      <c r="G506" t="s">
        <v>2009</v>
      </c>
      <c r="H506" t="s">
        <v>2014</v>
      </c>
      <c r="I506" t="s">
        <v>2019</v>
      </c>
      <c r="J506" t="s">
        <v>2023</v>
      </c>
      <c r="K506">
        <v>86</v>
      </c>
      <c r="L506" t="s">
        <v>2032</v>
      </c>
      <c r="M506" t="s">
        <v>2035</v>
      </c>
      <c r="N506" t="str">
        <f t="shared" si="14"/>
        <v>Pass</v>
      </c>
      <c r="O506" t="str">
        <f t="shared" si="15"/>
        <v>UnderAge</v>
      </c>
      <c r="P506" t="str" cm="1">
        <f t="array" ref="P506">_xlfn.IFS(K506&gt;90,"Excellent",K506&gt;80,"Very Good",K506&gt;70,"Good",K506&gt;=50,"Poor",K506&lt;50,"Fail")</f>
        <v>Very Good</v>
      </c>
    </row>
    <row r="507" spans="1:16" x14ac:dyDescent="0.25">
      <c r="A507" t="s">
        <v>516</v>
      </c>
      <c r="B507" t="s">
        <v>1515</v>
      </c>
      <c r="C507" t="s">
        <v>2198</v>
      </c>
      <c r="D507" t="s">
        <v>2044</v>
      </c>
      <c r="E507" t="s">
        <v>2008</v>
      </c>
      <c r="F507">
        <v>17</v>
      </c>
      <c r="G507" t="s">
        <v>2013</v>
      </c>
      <c r="H507" t="s">
        <v>2015</v>
      </c>
      <c r="I507" t="s">
        <v>2022</v>
      </c>
      <c r="J507" t="s">
        <v>2024</v>
      </c>
      <c r="K507">
        <v>72</v>
      </c>
      <c r="L507" t="s">
        <v>2029</v>
      </c>
      <c r="M507" t="s">
        <v>2035</v>
      </c>
      <c r="N507" t="str">
        <f t="shared" si="14"/>
        <v>Pass</v>
      </c>
      <c r="O507" t="str">
        <f t="shared" si="15"/>
        <v>UnderAge</v>
      </c>
      <c r="P507" t="str" cm="1">
        <f t="array" ref="P507">_xlfn.IFS(K507&gt;90,"Excellent",K507&gt;80,"Very Good",K507&gt;70,"Good",K507&gt;=50,"Poor",K507&lt;50,"Fail")</f>
        <v>Good</v>
      </c>
    </row>
    <row r="508" spans="1:16" x14ac:dyDescent="0.25">
      <c r="A508" t="s">
        <v>517</v>
      </c>
      <c r="B508" t="s">
        <v>1516</v>
      </c>
      <c r="C508" t="s">
        <v>2150</v>
      </c>
      <c r="D508" t="s">
        <v>2687</v>
      </c>
      <c r="E508" t="s">
        <v>2008</v>
      </c>
      <c r="F508">
        <v>16</v>
      </c>
      <c r="G508" t="s">
        <v>2011</v>
      </c>
      <c r="H508" t="s">
        <v>2015</v>
      </c>
      <c r="I508" t="s">
        <v>2019</v>
      </c>
      <c r="J508" t="s">
        <v>2023</v>
      </c>
      <c r="K508">
        <v>52</v>
      </c>
      <c r="L508" t="s">
        <v>2034</v>
      </c>
      <c r="M508" t="s">
        <v>2035</v>
      </c>
      <c r="N508" t="str">
        <f t="shared" si="14"/>
        <v>Pass</v>
      </c>
      <c r="O508" t="str">
        <f t="shared" si="15"/>
        <v>UnderAge</v>
      </c>
      <c r="P508" t="str" cm="1">
        <f t="array" ref="P508">_xlfn.IFS(K508&gt;90,"Excellent",K508&gt;80,"Very Good",K508&gt;70,"Good",K508&gt;=50,"Poor",K508&lt;50,"Fail")</f>
        <v>Poor</v>
      </c>
    </row>
    <row r="509" spans="1:16" x14ac:dyDescent="0.25">
      <c r="A509" t="s">
        <v>518</v>
      </c>
      <c r="B509" t="s">
        <v>1517</v>
      </c>
      <c r="C509" t="s">
        <v>2073</v>
      </c>
      <c r="D509" t="s">
        <v>2285</v>
      </c>
      <c r="E509" t="s">
        <v>2008</v>
      </c>
      <c r="F509">
        <v>14</v>
      </c>
      <c r="G509" t="s">
        <v>2011</v>
      </c>
      <c r="H509" t="s">
        <v>2015</v>
      </c>
      <c r="I509" t="s">
        <v>2019</v>
      </c>
      <c r="J509" t="s">
        <v>2023</v>
      </c>
      <c r="K509">
        <v>96</v>
      </c>
      <c r="L509" t="s">
        <v>2034</v>
      </c>
      <c r="M509" t="s">
        <v>2035</v>
      </c>
      <c r="N509" t="str">
        <f t="shared" si="14"/>
        <v>Pass</v>
      </c>
      <c r="O509" t="str">
        <f t="shared" si="15"/>
        <v>UnderAge</v>
      </c>
      <c r="P509" t="str" cm="1">
        <f t="array" ref="P509">_xlfn.IFS(K509&gt;90,"Excellent",K509&gt;80,"Very Good",K509&gt;70,"Good",K509&gt;=50,"Poor",K509&lt;50,"Fail")</f>
        <v>Excellent</v>
      </c>
    </row>
    <row r="510" spans="1:16" x14ac:dyDescent="0.25">
      <c r="A510" t="s">
        <v>519</v>
      </c>
      <c r="B510" t="s">
        <v>1518</v>
      </c>
      <c r="C510" t="s">
        <v>2135</v>
      </c>
      <c r="D510" t="s">
        <v>2688</v>
      </c>
      <c r="E510" t="s">
        <v>2008</v>
      </c>
      <c r="F510">
        <v>15</v>
      </c>
      <c r="G510" t="s">
        <v>2012</v>
      </c>
      <c r="H510" t="s">
        <v>2014</v>
      </c>
      <c r="I510" t="s">
        <v>2021</v>
      </c>
      <c r="J510" t="s">
        <v>2024</v>
      </c>
      <c r="K510">
        <v>53</v>
      </c>
      <c r="L510" t="s">
        <v>2032</v>
      </c>
      <c r="M510" t="s">
        <v>2035</v>
      </c>
      <c r="N510" t="str">
        <f t="shared" si="14"/>
        <v>Pass</v>
      </c>
      <c r="O510" t="str">
        <f t="shared" si="15"/>
        <v>UnderAge</v>
      </c>
      <c r="P510" t="str" cm="1">
        <f t="array" ref="P510">_xlfn.IFS(K510&gt;90,"Excellent",K510&gt;80,"Very Good",K510&gt;70,"Good",K510&gt;=50,"Poor",K510&lt;50,"Fail")</f>
        <v>Poor</v>
      </c>
    </row>
    <row r="511" spans="1:16" x14ac:dyDescent="0.25">
      <c r="A511" t="s">
        <v>520</v>
      </c>
      <c r="B511" t="s">
        <v>1519</v>
      </c>
      <c r="C511" t="s">
        <v>2163</v>
      </c>
      <c r="D511" t="s">
        <v>2420</v>
      </c>
      <c r="E511" t="s">
        <v>2008</v>
      </c>
      <c r="F511">
        <v>17</v>
      </c>
      <c r="G511" t="s">
        <v>2012</v>
      </c>
      <c r="H511" t="s">
        <v>2015</v>
      </c>
      <c r="I511" t="s">
        <v>2019</v>
      </c>
      <c r="J511" t="s">
        <v>2023</v>
      </c>
      <c r="K511">
        <v>23</v>
      </c>
      <c r="L511" t="s">
        <v>2026</v>
      </c>
      <c r="M511" t="s">
        <v>2036</v>
      </c>
      <c r="N511" t="str">
        <f t="shared" si="14"/>
        <v>Fail</v>
      </c>
      <c r="O511" t="str">
        <f t="shared" si="15"/>
        <v>UnderAge</v>
      </c>
      <c r="P511" t="str" cm="1">
        <f t="array" ref="P511">_xlfn.IFS(K511&gt;90,"Excellent",K511&gt;80,"Very Good",K511&gt;70,"Good",K511&gt;=50,"Poor",K511&lt;50,"Fail")</f>
        <v>Fail</v>
      </c>
    </row>
    <row r="512" spans="1:16" x14ac:dyDescent="0.25">
      <c r="A512" t="s">
        <v>521</v>
      </c>
      <c r="B512" t="s">
        <v>1520</v>
      </c>
      <c r="C512" t="s">
        <v>2224</v>
      </c>
      <c r="D512" t="s">
        <v>2689</v>
      </c>
      <c r="E512" t="s">
        <v>2008</v>
      </c>
      <c r="F512">
        <v>14</v>
      </c>
      <c r="G512" t="s">
        <v>2011</v>
      </c>
      <c r="H512" t="s">
        <v>2017</v>
      </c>
      <c r="I512" t="s">
        <v>2019</v>
      </c>
      <c r="J512" t="s">
        <v>2023</v>
      </c>
      <c r="K512">
        <v>63</v>
      </c>
      <c r="L512" t="s">
        <v>2032</v>
      </c>
      <c r="M512" t="s">
        <v>2035</v>
      </c>
      <c r="N512" t="str">
        <f t="shared" si="14"/>
        <v>Pass</v>
      </c>
      <c r="O512" t="str">
        <f t="shared" si="15"/>
        <v>UnderAge</v>
      </c>
      <c r="P512" t="str" cm="1">
        <f t="array" ref="P512">_xlfn.IFS(K512&gt;90,"Excellent",K512&gt;80,"Very Good",K512&gt;70,"Good",K512&gt;=50,"Poor",K512&lt;50,"Fail")</f>
        <v>Poor</v>
      </c>
    </row>
    <row r="513" spans="1:16" x14ac:dyDescent="0.25">
      <c r="A513" t="s">
        <v>522</v>
      </c>
      <c r="B513" t="s">
        <v>1521</v>
      </c>
      <c r="C513" t="s">
        <v>2187</v>
      </c>
      <c r="D513" t="s">
        <v>2416</v>
      </c>
      <c r="E513" t="s">
        <v>2007</v>
      </c>
      <c r="F513">
        <v>16</v>
      </c>
      <c r="G513" t="s">
        <v>2009</v>
      </c>
      <c r="H513" t="s">
        <v>2014</v>
      </c>
      <c r="I513" t="s">
        <v>2019</v>
      </c>
      <c r="J513" t="s">
        <v>2024</v>
      </c>
      <c r="K513">
        <v>60</v>
      </c>
      <c r="L513" t="s">
        <v>2027</v>
      </c>
      <c r="M513" t="s">
        <v>2035</v>
      </c>
      <c r="N513" t="str">
        <f t="shared" si="14"/>
        <v>Pass</v>
      </c>
      <c r="O513" t="str">
        <f t="shared" si="15"/>
        <v>UnderAge</v>
      </c>
      <c r="P513" t="str" cm="1">
        <f t="array" ref="P513">_xlfn.IFS(K513&gt;90,"Excellent",K513&gt;80,"Very Good",K513&gt;70,"Good",K513&gt;=50,"Poor",K513&lt;50,"Fail")</f>
        <v>Poor</v>
      </c>
    </row>
    <row r="514" spans="1:16" x14ac:dyDescent="0.25">
      <c r="A514" t="s">
        <v>523</v>
      </c>
      <c r="B514" t="s">
        <v>1522</v>
      </c>
      <c r="C514" t="s">
        <v>2240</v>
      </c>
      <c r="D514" t="s">
        <v>2690</v>
      </c>
      <c r="E514" t="s">
        <v>2008</v>
      </c>
      <c r="F514">
        <v>15</v>
      </c>
      <c r="G514" t="s">
        <v>2012</v>
      </c>
      <c r="H514" t="s">
        <v>2017</v>
      </c>
      <c r="I514" t="s">
        <v>2022</v>
      </c>
      <c r="J514" t="s">
        <v>2024</v>
      </c>
      <c r="K514">
        <v>93</v>
      </c>
      <c r="L514" t="s">
        <v>2032</v>
      </c>
      <c r="M514" t="s">
        <v>2035</v>
      </c>
      <c r="N514" t="str">
        <f t="shared" si="14"/>
        <v>Pass</v>
      </c>
      <c r="O514" t="str">
        <f t="shared" si="15"/>
        <v>UnderAge</v>
      </c>
      <c r="P514" t="str" cm="1">
        <f t="array" ref="P514">_xlfn.IFS(K514&gt;90,"Excellent",K514&gt;80,"Very Good",K514&gt;70,"Good",K514&gt;=50,"Poor",K514&lt;50,"Fail")</f>
        <v>Excellent</v>
      </c>
    </row>
    <row r="515" spans="1:16" x14ac:dyDescent="0.25">
      <c r="A515" t="s">
        <v>524</v>
      </c>
      <c r="B515" t="s">
        <v>1523</v>
      </c>
      <c r="C515" t="s">
        <v>2068</v>
      </c>
      <c r="D515" t="s">
        <v>2691</v>
      </c>
      <c r="E515" t="s">
        <v>2008</v>
      </c>
      <c r="F515">
        <v>14</v>
      </c>
      <c r="G515" t="s">
        <v>2009</v>
      </c>
      <c r="H515" t="s">
        <v>2015</v>
      </c>
      <c r="I515" t="s">
        <v>2020</v>
      </c>
      <c r="J515" t="s">
        <v>2023</v>
      </c>
      <c r="K515">
        <v>85</v>
      </c>
      <c r="L515" t="s">
        <v>2034</v>
      </c>
      <c r="M515" t="s">
        <v>2035</v>
      </c>
      <c r="N515" t="str">
        <f t="shared" ref="N515:N578" si="16">IF(K515&gt;=50,"Pass","Fail")</f>
        <v>Pass</v>
      </c>
      <c r="O515" t="str">
        <f t="shared" ref="O515:O578" si="17">IF(F515&gt;=18,"Adult","UnderAge")</f>
        <v>UnderAge</v>
      </c>
      <c r="P515" t="str" cm="1">
        <f t="array" ref="P515">_xlfn.IFS(K515&gt;90,"Excellent",K515&gt;80,"Very Good",K515&gt;70,"Good",K515&gt;=50,"Poor",K515&lt;50,"Fail")</f>
        <v>Very Good</v>
      </c>
    </row>
    <row r="516" spans="1:16" x14ac:dyDescent="0.25">
      <c r="A516" t="s">
        <v>525</v>
      </c>
      <c r="B516" t="s">
        <v>1524</v>
      </c>
      <c r="C516" t="s">
        <v>2188</v>
      </c>
      <c r="D516" t="s">
        <v>2692</v>
      </c>
      <c r="E516" t="s">
        <v>2008</v>
      </c>
      <c r="F516">
        <v>17</v>
      </c>
      <c r="G516" t="s">
        <v>2010</v>
      </c>
      <c r="H516" t="s">
        <v>2016</v>
      </c>
      <c r="I516" t="s">
        <v>2022</v>
      </c>
      <c r="J516" t="s">
        <v>2023</v>
      </c>
      <c r="K516">
        <v>23</v>
      </c>
      <c r="L516" t="s">
        <v>2033</v>
      </c>
      <c r="M516" t="s">
        <v>2036</v>
      </c>
      <c r="N516" t="str">
        <f t="shared" si="16"/>
        <v>Fail</v>
      </c>
      <c r="O516" t="str">
        <f t="shared" si="17"/>
        <v>UnderAge</v>
      </c>
      <c r="P516" t="str" cm="1">
        <f t="array" ref="P516">_xlfn.IFS(K516&gt;90,"Excellent",K516&gt;80,"Very Good",K516&gt;70,"Good",K516&gt;=50,"Poor",K516&lt;50,"Fail")</f>
        <v>Fail</v>
      </c>
    </row>
    <row r="517" spans="1:16" x14ac:dyDescent="0.25">
      <c r="A517" t="s">
        <v>526</v>
      </c>
      <c r="B517" t="s">
        <v>1525</v>
      </c>
      <c r="C517" t="s">
        <v>2070</v>
      </c>
      <c r="D517" t="s">
        <v>2117</v>
      </c>
      <c r="E517" t="s">
        <v>2007</v>
      </c>
      <c r="F517">
        <v>15</v>
      </c>
      <c r="G517" t="s">
        <v>2009</v>
      </c>
      <c r="H517" t="s">
        <v>2014</v>
      </c>
      <c r="I517" t="s">
        <v>2022</v>
      </c>
      <c r="J517" t="s">
        <v>2024</v>
      </c>
      <c r="K517">
        <v>5</v>
      </c>
      <c r="L517" t="s">
        <v>2028</v>
      </c>
      <c r="M517" t="s">
        <v>2036</v>
      </c>
      <c r="N517" t="str">
        <f t="shared" si="16"/>
        <v>Fail</v>
      </c>
      <c r="O517" t="str">
        <f t="shared" si="17"/>
        <v>UnderAge</v>
      </c>
      <c r="P517" t="str" cm="1">
        <f t="array" ref="P517">_xlfn.IFS(K517&gt;90,"Excellent",K517&gt;80,"Very Good",K517&gt;70,"Good",K517&gt;=50,"Poor",K517&lt;50,"Fail")</f>
        <v>Fail</v>
      </c>
    </row>
    <row r="518" spans="1:16" x14ac:dyDescent="0.25">
      <c r="A518" t="s">
        <v>527</v>
      </c>
      <c r="B518" t="s">
        <v>1526</v>
      </c>
      <c r="C518" t="s">
        <v>2070</v>
      </c>
      <c r="D518" t="s">
        <v>2588</v>
      </c>
      <c r="E518" t="s">
        <v>2007</v>
      </c>
      <c r="F518">
        <v>14</v>
      </c>
      <c r="G518" t="s">
        <v>2012</v>
      </c>
      <c r="H518" t="s">
        <v>2015</v>
      </c>
      <c r="I518" t="s">
        <v>2022</v>
      </c>
      <c r="J518" t="s">
        <v>2023</v>
      </c>
      <c r="K518">
        <v>100</v>
      </c>
      <c r="L518" t="s">
        <v>2032</v>
      </c>
      <c r="M518" t="s">
        <v>2035</v>
      </c>
      <c r="N518" t="str">
        <f t="shared" si="16"/>
        <v>Pass</v>
      </c>
      <c r="O518" t="str">
        <f t="shared" si="17"/>
        <v>UnderAge</v>
      </c>
      <c r="P518" t="str" cm="1">
        <f t="array" ref="P518">_xlfn.IFS(K518&gt;90,"Excellent",K518&gt;80,"Very Good",K518&gt;70,"Good",K518&gt;=50,"Poor",K518&lt;50,"Fail")</f>
        <v>Excellent</v>
      </c>
    </row>
    <row r="519" spans="1:16" x14ac:dyDescent="0.25">
      <c r="A519" t="s">
        <v>528</v>
      </c>
      <c r="B519" t="s">
        <v>1527</v>
      </c>
      <c r="C519" t="s">
        <v>2311</v>
      </c>
      <c r="D519" t="s">
        <v>2693</v>
      </c>
      <c r="E519" t="s">
        <v>2007</v>
      </c>
      <c r="F519">
        <v>14</v>
      </c>
      <c r="G519" t="s">
        <v>2012</v>
      </c>
      <c r="H519" t="s">
        <v>2017</v>
      </c>
      <c r="I519" t="s">
        <v>2021</v>
      </c>
      <c r="J519" t="s">
        <v>2024</v>
      </c>
      <c r="K519">
        <v>91</v>
      </c>
      <c r="L519" t="s">
        <v>2025</v>
      </c>
      <c r="M519" t="s">
        <v>2035</v>
      </c>
      <c r="N519" t="str">
        <f t="shared" si="16"/>
        <v>Pass</v>
      </c>
      <c r="O519" t="str">
        <f t="shared" si="17"/>
        <v>UnderAge</v>
      </c>
      <c r="P519" t="str" cm="1">
        <f t="array" ref="P519">_xlfn.IFS(K519&gt;90,"Excellent",K519&gt;80,"Very Good",K519&gt;70,"Good",K519&gt;=50,"Poor",K519&lt;50,"Fail")</f>
        <v>Excellent</v>
      </c>
    </row>
    <row r="520" spans="1:16" x14ac:dyDescent="0.25">
      <c r="A520" t="s">
        <v>529</v>
      </c>
      <c r="B520" t="s">
        <v>1528</v>
      </c>
      <c r="C520" t="s">
        <v>2076</v>
      </c>
      <c r="D520" t="s">
        <v>2694</v>
      </c>
      <c r="E520" t="s">
        <v>2007</v>
      </c>
      <c r="F520">
        <v>17</v>
      </c>
      <c r="G520" t="s">
        <v>2011</v>
      </c>
      <c r="H520" t="s">
        <v>2017</v>
      </c>
      <c r="I520" t="s">
        <v>2022</v>
      </c>
      <c r="J520" t="s">
        <v>2024</v>
      </c>
      <c r="K520">
        <v>50</v>
      </c>
      <c r="L520" t="s">
        <v>2028</v>
      </c>
      <c r="M520" t="s">
        <v>2035</v>
      </c>
      <c r="N520" t="str">
        <f t="shared" si="16"/>
        <v>Pass</v>
      </c>
      <c r="O520" t="str">
        <f t="shared" si="17"/>
        <v>UnderAge</v>
      </c>
      <c r="P520" t="str" cm="1">
        <f t="array" ref="P520">_xlfn.IFS(K520&gt;90,"Excellent",K520&gt;80,"Very Good",K520&gt;70,"Good",K520&gt;=50,"Poor",K520&lt;50,"Fail")</f>
        <v>Poor</v>
      </c>
    </row>
    <row r="521" spans="1:16" x14ac:dyDescent="0.25">
      <c r="A521" t="s">
        <v>530</v>
      </c>
      <c r="B521" t="s">
        <v>1529</v>
      </c>
      <c r="C521" t="s">
        <v>2312</v>
      </c>
      <c r="D521" t="s">
        <v>2219</v>
      </c>
      <c r="E521" t="s">
        <v>2007</v>
      </c>
      <c r="F521">
        <v>15</v>
      </c>
      <c r="G521" t="s">
        <v>2010</v>
      </c>
      <c r="H521" t="s">
        <v>2017</v>
      </c>
      <c r="I521" t="s">
        <v>2018</v>
      </c>
      <c r="J521" t="s">
        <v>2023</v>
      </c>
      <c r="K521">
        <v>73</v>
      </c>
      <c r="L521" t="s">
        <v>2025</v>
      </c>
      <c r="M521" t="s">
        <v>2035</v>
      </c>
      <c r="N521" t="str">
        <f t="shared" si="16"/>
        <v>Pass</v>
      </c>
      <c r="O521" t="str">
        <f t="shared" si="17"/>
        <v>UnderAge</v>
      </c>
      <c r="P521" t="str" cm="1">
        <f t="array" ref="P521">_xlfn.IFS(K521&gt;90,"Excellent",K521&gt;80,"Very Good",K521&gt;70,"Good",K521&gt;=50,"Poor",K521&lt;50,"Fail")</f>
        <v>Good</v>
      </c>
    </row>
    <row r="522" spans="1:16" x14ac:dyDescent="0.25">
      <c r="A522" t="s">
        <v>531</v>
      </c>
      <c r="B522" t="s">
        <v>1530</v>
      </c>
      <c r="C522" t="s">
        <v>2313</v>
      </c>
      <c r="D522" t="s">
        <v>2695</v>
      </c>
      <c r="E522" t="s">
        <v>2008</v>
      </c>
      <c r="F522">
        <v>14</v>
      </c>
      <c r="G522" t="s">
        <v>2010</v>
      </c>
      <c r="H522" t="s">
        <v>2014</v>
      </c>
      <c r="I522" t="s">
        <v>2021</v>
      </c>
      <c r="J522" t="s">
        <v>2024</v>
      </c>
      <c r="K522">
        <v>30</v>
      </c>
      <c r="L522" t="s">
        <v>2027</v>
      </c>
      <c r="M522" t="s">
        <v>2036</v>
      </c>
      <c r="N522" t="str">
        <f t="shared" si="16"/>
        <v>Fail</v>
      </c>
      <c r="O522" t="str">
        <f t="shared" si="17"/>
        <v>UnderAge</v>
      </c>
      <c r="P522" t="str" cm="1">
        <f t="array" ref="P522">_xlfn.IFS(K522&gt;90,"Excellent",K522&gt;80,"Very Good",K522&gt;70,"Good",K522&gt;=50,"Poor",K522&lt;50,"Fail")</f>
        <v>Fail</v>
      </c>
    </row>
    <row r="523" spans="1:16" x14ac:dyDescent="0.25">
      <c r="A523" t="s">
        <v>532</v>
      </c>
      <c r="B523" t="s">
        <v>1531</v>
      </c>
      <c r="C523" t="s">
        <v>2139</v>
      </c>
      <c r="D523" t="s">
        <v>2251</v>
      </c>
      <c r="E523" t="s">
        <v>2007</v>
      </c>
      <c r="F523">
        <v>15</v>
      </c>
      <c r="G523" t="s">
        <v>2011</v>
      </c>
      <c r="H523" t="s">
        <v>2014</v>
      </c>
      <c r="I523" t="s">
        <v>2021</v>
      </c>
      <c r="J523" t="s">
        <v>2023</v>
      </c>
      <c r="K523">
        <v>57</v>
      </c>
      <c r="L523" t="s">
        <v>2033</v>
      </c>
      <c r="M523" t="s">
        <v>2035</v>
      </c>
      <c r="N523" t="str">
        <f t="shared" si="16"/>
        <v>Pass</v>
      </c>
      <c r="O523" t="str">
        <f t="shared" si="17"/>
        <v>UnderAge</v>
      </c>
      <c r="P523" t="str" cm="1">
        <f t="array" ref="P523">_xlfn.IFS(K523&gt;90,"Excellent",K523&gt;80,"Very Good",K523&gt;70,"Good",K523&gt;=50,"Poor",K523&lt;50,"Fail")</f>
        <v>Poor</v>
      </c>
    </row>
    <row r="524" spans="1:16" x14ac:dyDescent="0.25">
      <c r="A524" t="s">
        <v>533</v>
      </c>
      <c r="B524" t="s">
        <v>1532</v>
      </c>
      <c r="C524" t="s">
        <v>2150</v>
      </c>
      <c r="D524" t="s">
        <v>2696</v>
      </c>
      <c r="E524" t="s">
        <v>2008</v>
      </c>
      <c r="F524">
        <v>14</v>
      </c>
      <c r="G524" t="s">
        <v>2011</v>
      </c>
      <c r="H524" t="s">
        <v>2017</v>
      </c>
      <c r="I524" t="s">
        <v>2019</v>
      </c>
      <c r="J524" t="s">
        <v>2023</v>
      </c>
      <c r="K524">
        <v>8</v>
      </c>
      <c r="L524" t="s">
        <v>2032</v>
      </c>
      <c r="M524" t="s">
        <v>2036</v>
      </c>
      <c r="N524" t="str">
        <f t="shared" si="16"/>
        <v>Fail</v>
      </c>
      <c r="O524" t="str">
        <f t="shared" si="17"/>
        <v>UnderAge</v>
      </c>
      <c r="P524" t="str" cm="1">
        <f t="array" ref="P524">_xlfn.IFS(K524&gt;90,"Excellent",K524&gt;80,"Very Good",K524&gt;70,"Good",K524&gt;=50,"Poor",K524&lt;50,"Fail")</f>
        <v>Fail</v>
      </c>
    </row>
    <row r="525" spans="1:16" x14ac:dyDescent="0.25">
      <c r="A525" t="s">
        <v>534</v>
      </c>
      <c r="B525" t="s">
        <v>1533</v>
      </c>
      <c r="C525" t="s">
        <v>2109</v>
      </c>
      <c r="D525" t="s">
        <v>2470</v>
      </c>
      <c r="E525" t="s">
        <v>2007</v>
      </c>
      <c r="F525">
        <v>14</v>
      </c>
      <c r="G525" t="s">
        <v>2009</v>
      </c>
      <c r="H525" t="s">
        <v>2015</v>
      </c>
      <c r="I525" t="s">
        <v>2018</v>
      </c>
      <c r="J525" t="s">
        <v>2024</v>
      </c>
      <c r="K525">
        <v>94</v>
      </c>
      <c r="L525" t="s">
        <v>2029</v>
      </c>
      <c r="M525" t="s">
        <v>2035</v>
      </c>
      <c r="N525" t="str">
        <f t="shared" si="16"/>
        <v>Pass</v>
      </c>
      <c r="O525" t="str">
        <f t="shared" si="17"/>
        <v>UnderAge</v>
      </c>
      <c r="P525" t="str" cm="1">
        <f t="array" ref="P525">_xlfn.IFS(K525&gt;90,"Excellent",K525&gt;80,"Very Good",K525&gt;70,"Good",K525&gt;=50,"Poor",K525&lt;50,"Fail")</f>
        <v>Excellent</v>
      </c>
    </row>
    <row r="526" spans="1:16" x14ac:dyDescent="0.25">
      <c r="A526" t="s">
        <v>535</v>
      </c>
      <c r="B526" t="s">
        <v>1534</v>
      </c>
      <c r="C526" t="s">
        <v>2076</v>
      </c>
      <c r="D526" t="s">
        <v>2495</v>
      </c>
      <c r="E526" t="s">
        <v>2008</v>
      </c>
      <c r="F526">
        <v>18</v>
      </c>
      <c r="G526" t="s">
        <v>2013</v>
      </c>
      <c r="H526" t="s">
        <v>2015</v>
      </c>
      <c r="I526" t="s">
        <v>2022</v>
      </c>
      <c r="J526" t="s">
        <v>2023</v>
      </c>
      <c r="K526">
        <v>29</v>
      </c>
      <c r="L526" t="s">
        <v>2031</v>
      </c>
      <c r="M526" t="s">
        <v>2036</v>
      </c>
      <c r="N526" t="str">
        <f t="shared" si="16"/>
        <v>Fail</v>
      </c>
      <c r="O526" t="str">
        <f t="shared" si="17"/>
        <v>Adult</v>
      </c>
      <c r="P526" t="str" cm="1">
        <f t="array" ref="P526">_xlfn.IFS(K526&gt;90,"Excellent",K526&gt;80,"Very Good",K526&gt;70,"Good",K526&gt;=50,"Poor",K526&lt;50,"Fail")</f>
        <v>Fail</v>
      </c>
    </row>
    <row r="527" spans="1:16" x14ac:dyDescent="0.25">
      <c r="A527" t="s">
        <v>536</v>
      </c>
      <c r="B527" t="s">
        <v>1535</v>
      </c>
      <c r="C527" t="s">
        <v>2271</v>
      </c>
      <c r="D527" t="s">
        <v>2461</v>
      </c>
      <c r="E527" t="s">
        <v>2008</v>
      </c>
      <c r="F527">
        <v>16</v>
      </c>
      <c r="G527" t="s">
        <v>2009</v>
      </c>
      <c r="H527" t="s">
        <v>2014</v>
      </c>
      <c r="I527" t="s">
        <v>2018</v>
      </c>
      <c r="J527" t="s">
        <v>2024</v>
      </c>
      <c r="K527">
        <v>42</v>
      </c>
      <c r="L527" t="s">
        <v>2025</v>
      </c>
      <c r="M527" t="s">
        <v>2036</v>
      </c>
      <c r="N527" t="str">
        <f t="shared" si="16"/>
        <v>Fail</v>
      </c>
      <c r="O527" t="str">
        <f t="shared" si="17"/>
        <v>UnderAge</v>
      </c>
      <c r="P527" t="str" cm="1">
        <f t="array" ref="P527">_xlfn.IFS(K527&gt;90,"Excellent",K527&gt;80,"Very Good",K527&gt;70,"Good",K527&gt;=50,"Poor",K527&lt;50,"Fail")</f>
        <v>Fail</v>
      </c>
    </row>
    <row r="528" spans="1:16" x14ac:dyDescent="0.25">
      <c r="A528" t="s">
        <v>537</v>
      </c>
      <c r="B528" t="s">
        <v>1536</v>
      </c>
      <c r="C528" t="s">
        <v>2139</v>
      </c>
      <c r="D528" t="s">
        <v>2697</v>
      </c>
      <c r="E528" t="s">
        <v>2008</v>
      </c>
      <c r="F528">
        <v>15</v>
      </c>
      <c r="G528" t="s">
        <v>2013</v>
      </c>
      <c r="H528" t="s">
        <v>2016</v>
      </c>
      <c r="I528" t="s">
        <v>2021</v>
      </c>
      <c r="J528" t="s">
        <v>2024</v>
      </c>
      <c r="K528">
        <v>17</v>
      </c>
      <c r="L528" t="s">
        <v>2033</v>
      </c>
      <c r="M528" t="s">
        <v>2036</v>
      </c>
      <c r="N528" t="str">
        <f t="shared" si="16"/>
        <v>Fail</v>
      </c>
      <c r="O528" t="str">
        <f t="shared" si="17"/>
        <v>UnderAge</v>
      </c>
      <c r="P528" t="str" cm="1">
        <f t="array" ref="P528">_xlfn.IFS(K528&gt;90,"Excellent",K528&gt;80,"Very Good",K528&gt;70,"Good",K528&gt;=50,"Poor",K528&lt;50,"Fail")</f>
        <v>Fail</v>
      </c>
    </row>
    <row r="529" spans="1:16" x14ac:dyDescent="0.25">
      <c r="A529" t="s">
        <v>538</v>
      </c>
      <c r="B529" t="s">
        <v>1537</v>
      </c>
      <c r="C529" t="s">
        <v>2065</v>
      </c>
      <c r="D529" t="s">
        <v>2464</v>
      </c>
      <c r="E529" t="s">
        <v>2007</v>
      </c>
      <c r="F529">
        <v>17</v>
      </c>
      <c r="G529" t="s">
        <v>2010</v>
      </c>
      <c r="H529" t="s">
        <v>2017</v>
      </c>
      <c r="I529" t="s">
        <v>2022</v>
      </c>
      <c r="J529" t="s">
        <v>2023</v>
      </c>
      <c r="K529">
        <v>59</v>
      </c>
      <c r="L529" t="s">
        <v>2025</v>
      </c>
      <c r="M529" t="s">
        <v>2035</v>
      </c>
      <c r="N529" t="str">
        <f t="shared" si="16"/>
        <v>Pass</v>
      </c>
      <c r="O529" t="str">
        <f t="shared" si="17"/>
        <v>UnderAge</v>
      </c>
      <c r="P529" t="str" cm="1">
        <f t="array" ref="P529">_xlfn.IFS(K529&gt;90,"Excellent",K529&gt;80,"Very Good",K529&gt;70,"Good",K529&gt;=50,"Poor",K529&lt;50,"Fail")</f>
        <v>Poor</v>
      </c>
    </row>
    <row r="530" spans="1:16" x14ac:dyDescent="0.25">
      <c r="A530" t="s">
        <v>539</v>
      </c>
      <c r="B530" t="s">
        <v>1538</v>
      </c>
      <c r="C530" t="s">
        <v>2314</v>
      </c>
      <c r="D530" t="s">
        <v>2433</v>
      </c>
      <c r="E530" t="s">
        <v>2008</v>
      </c>
      <c r="F530">
        <v>16</v>
      </c>
      <c r="G530" t="s">
        <v>2013</v>
      </c>
      <c r="H530" t="s">
        <v>2015</v>
      </c>
      <c r="I530" t="s">
        <v>2020</v>
      </c>
      <c r="J530" t="s">
        <v>2024</v>
      </c>
      <c r="K530">
        <v>28</v>
      </c>
      <c r="L530" t="s">
        <v>2028</v>
      </c>
      <c r="M530" t="s">
        <v>2036</v>
      </c>
      <c r="N530" t="str">
        <f t="shared" si="16"/>
        <v>Fail</v>
      </c>
      <c r="O530" t="str">
        <f t="shared" si="17"/>
        <v>UnderAge</v>
      </c>
      <c r="P530" t="str" cm="1">
        <f t="array" ref="P530">_xlfn.IFS(K530&gt;90,"Excellent",K530&gt;80,"Very Good",K530&gt;70,"Good",K530&gt;=50,"Poor",K530&lt;50,"Fail")</f>
        <v>Fail</v>
      </c>
    </row>
    <row r="531" spans="1:16" x14ac:dyDescent="0.25">
      <c r="A531" t="s">
        <v>540</v>
      </c>
      <c r="B531" t="s">
        <v>1539</v>
      </c>
      <c r="C531" t="s">
        <v>2315</v>
      </c>
      <c r="D531" t="s">
        <v>2519</v>
      </c>
      <c r="E531" t="s">
        <v>2007</v>
      </c>
      <c r="F531">
        <v>18</v>
      </c>
      <c r="G531" t="s">
        <v>2010</v>
      </c>
      <c r="H531" t="s">
        <v>2015</v>
      </c>
      <c r="I531" t="s">
        <v>2020</v>
      </c>
      <c r="J531" t="s">
        <v>2023</v>
      </c>
      <c r="K531">
        <v>32</v>
      </c>
      <c r="L531" t="s">
        <v>2028</v>
      </c>
      <c r="M531" t="s">
        <v>2036</v>
      </c>
      <c r="N531" t="str">
        <f t="shared" si="16"/>
        <v>Fail</v>
      </c>
      <c r="O531" t="str">
        <f t="shared" si="17"/>
        <v>Adult</v>
      </c>
      <c r="P531" t="str" cm="1">
        <f t="array" ref="P531">_xlfn.IFS(K531&gt;90,"Excellent",K531&gt;80,"Very Good",K531&gt;70,"Good",K531&gt;=50,"Poor",K531&lt;50,"Fail")</f>
        <v>Fail</v>
      </c>
    </row>
    <row r="532" spans="1:16" x14ac:dyDescent="0.25">
      <c r="A532" t="s">
        <v>541</v>
      </c>
      <c r="B532" t="s">
        <v>1540</v>
      </c>
      <c r="C532" t="s">
        <v>2316</v>
      </c>
      <c r="D532" t="s">
        <v>2631</v>
      </c>
      <c r="E532" t="s">
        <v>2007</v>
      </c>
      <c r="F532">
        <v>15</v>
      </c>
      <c r="G532" t="s">
        <v>2012</v>
      </c>
      <c r="H532" t="s">
        <v>2016</v>
      </c>
      <c r="I532" t="s">
        <v>2018</v>
      </c>
      <c r="J532" t="s">
        <v>2024</v>
      </c>
      <c r="K532">
        <v>98</v>
      </c>
      <c r="L532" t="s">
        <v>2027</v>
      </c>
      <c r="M532" t="s">
        <v>2035</v>
      </c>
      <c r="N532" t="str">
        <f t="shared" si="16"/>
        <v>Pass</v>
      </c>
      <c r="O532" t="str">
        <f t="shared" si="17"/>
        <v>UnderAge</v>
      </c>
      <c r="P532" t="str" cm="1">
        <f t="array" ref="P532">_xlfn.IFS(K532&gt;90,"Excellent",K532&gt;80,"Very Good",K532&gt;70,"Good",K532&gt;=50,"Poor",K532&lt;50,"Fail")</f>
        <v>Excellent</v>
      </c>
    </row>
    <row r="533" spans="1:16" x14ac:dyDescent="0.25">
      <c r="A533" t="s">
        <v>542</v>
      </c>
      <c r="B533" t="s">
        <v>1541</v>
      </c>
      <c r="C533" t="s">
        <v>2095</v>
      </c>
      <c r="D533" t="s">
        <v>2474</v>
      </c>
      <c r="E533" t="s">
        <v>2007</v>
      </c>
      <c r="F533">
        <v>18</v>
      </c>
      <c r="G533" t="s">
        <v>2012</v>
      </c>
      <c r="H533" t="s">
        <v>2016</v>
      </c>
      <c r="I533" t="s">
        <v>2020</v>
      </c>
      <c r="J533" t="s">
        <v>2024</v>
      </c>
      <c r="K533">
        <v>50</v>
      </c>
      <c r="L533" t="s">
        <v>2030</v>
      </c>
      <c r="M533" t="s">
        <v>2035</v>
      </c>
      <c r="N533" t="str">
        <f t="shared" si="16"/>
        <v>Pass</v>
      </c>
      <c r="O533" t="str">
        <f t="shared" si="17"/>
        <v>Adult</v>
      </c>
      <c r="P533" t="str" cm="1">
        <f t="array" ref="P533">_xlfn.IFS(K533&gt;90,"Excellent",K533&gt;80,"Very Good",K533&gt;70,"Good",K533&gt;=50,"Poor",K533&lt;50,"Fail")</f>
        <v>Poor</v>
      </c>
    </row>
    <row r="534" spans="1:16" x14ac:dyDescent="0.25">
      <c r="A534" t="s">
        <v>543</v>
      </c>
      <c r="B534" t="s">
        <v>1542</v>
      </c>
      <c r="C534" t="s">
        <v>2198</v>
      </c>
      <c r="D534" t="s">
        <v>2679</v>
      </c>
      <c r="E534" t="s">
        <v>2007</v>
      </c>
      <c r="F534">
        <v>14</v>
      </c>
      <c r="G534" t="s">
        <v>2011</v>
      </c>
      <c r="H534" t="s">
        <v>2017</v>
      </c>
      <c r="I534" t="s">
        <v>2021</v>
      </c>
      <c r="J534" t="s">
        <v>2024</v>
      </c>
      <c r="K534">
        <v>97</v>
      </c>
      <c r="L534" t="s">
        <v>2031</v>
      </c>
      <c r="M534" t="s">
        <v>2035</v>
      </c>
      <c r="N534" t="str">
        <f t="shared" si="16"/>
        <v>Pass</v>
      </c>
      <c r="O534" t="str">
        <f t="shared" si="17"/>
        <v>UnderAge</v>
      </c>
      <c r="P534" t="str" cm="1">
        <f t="array" ref="P534">_xlfn.IFS(K534&gt;90,"Excellent",K534&gt;80,"Very Good",K534&gt;70,"Good",K534&gt;=50,"Poor",K534&lt;50,"Fail")</f>
        <v>Excellent</v>
      </c>
    </row>
    <row r="535" spans="1:16" x14ac:dyDescent="0.25">
      <c r="A535" t="s">
        <v>544</v>
      </c>
      <c r="B535" t="s">
        <v>1543</v>
      </c>
      <c r="C535" t="s">
        <v>2135</v>
      </c>
      <c r="D535" t="s">
        <v>2698</v>
      </c>
      <c r="E535" t="s">
        <v>2007</v>
      </c>
      <c r="F535">
        <v>17</v>
      </c>
      <c r="G535" t="s">
        <v>2011</v>
      </c>
      <c r="H535" t="s">
        <v>2014</v>
      </c>
      <c r="I535" t="s">
        <v>2021</v>
      </c>
      <c r="J535" t="s">
        <v>2023</v>
      </c>
      <c r="K535">
        <v>56</v>
      </c>
      <c r="L535" t="s">
        <v>2028</v>
      </c>
      <c r="M535" t="s">
        <v>2035</v>
      </c>
      <c r="N535" t="str">
        <f t="shared" si="16"/>
        <v>Pass</v>
      </c>
      <c r="O535" t="str">
        <f t="shared" si="17"/>
        <v>UnderAge</v>
      </c>
      <c r="P535" t="str" cm="1">
        <f t="array" ref="P535">_xlfn.IFS(K535&gt;90,"Excellent",K535&gt;80,"Very Good",K535&gt;70,"Good",K535&gt;=50,"Poor",K535&lt;50,"Fail")</f>
        <v>Poor</v>
      </c>
    </row>
    <row r="536" spans="1:16" x14ac:dyDescent="0.25">
      <c r="A536" t="s">
        <v>545</v>
      </c>
      <c r="B536" t="s">
        <v>1544</v>
      </c>
      <c r="C536" t="s">
        <v>2317</v>
      </c>
      <c r="D536" t="s">
        <v>2699</v>
      </c>
      <c r="E536" t="s">
        <v>2007</v>
      </c>
      <c r="F536">
        <v>15</v>
      </c>
      <c r="G536" t="s">
        <v>2010</v>
      </c>
      <c r="H536" t="s">
        <v>2015</v>
      </c>
      <c r="I536" t="s">
        <v>2019</v>
      </c>
      <c r="J536" t="s">
        <v>2024</v>
      </c>
      <c r="K536">
        <v>75</v>
      </c>
      <c r="L536" t="s">
        <v>2029</v>
      </c>
      <c r="M536" t="s">
        <v>2035</v>
      </c>
      <c r="N536" t="str">
        <f t="shared" si="16"/>
        <v>Pass</v>
      </c>
      <c r="O536" t="str">
        <f t="shared" si="17"/>
        <v>UnderAge</v>
      </c>
      <c r="P536" t="str" cm="1">
        <f t="array" ref="P536">_xlfn.IFS(K536&gt;90,"Excellent",K536&gt;80,"Very Good",K536&gt;70,"Good",K536&gt;=50,"Poor",K536&lt;50,"Fail")</f>
        <v>Good</v>
      </c>
    </row>
    <row r="537" spans="1:16" x14ac:dyDescent="0.25">
      <c r="A537" t="s">
        <v>546</v>
      </c>
      <c r="B537" t="s">
        <v>1545</v>
      </c>
      <c r="C537" t="s">
        <v>2318</v>
      </c>
      <c r="D537" t="s">
        <v>2447</v>
      </c>
      <c r="E537" t="s">
        <v>2008</v>
      </c>
      <c r="F537">
        <v>14</v>
      </c>
      <c r="G537" t="s">
        <v>2011</v>
      </c>
      <c r="H537" t="s">
        <v>2017</v>
      </c>
      <c r="I537" t="s">
        <v>2018</v>
      </c>
      <c r="J537" t="s">
        <v>2024</v>
      </c>
      <c r="K537">
        <v>8</v>
      </c>
      <c r="L537" t="s">
        <v>2031</v>
      </c>
      <c r="M537" t="s">
        <v>2036</v>
      </c>
      <c r="N537" t="str">
        <f t="shared" si="16"/>
        <v>Fail</v>
      </c>
      <c r="O537" t="str">
        <f t="shared" si="17"/>
        <v>UnderAge</v>
      </c>
      <c r="P537" t="str" cm="1">
        <f t="array" ref="P537">_xlfn.IFS(K537&gt;90,"Excellent",K537&gt;80,"Very Good",K537&gt;70,"Good",K537&gt;=50,"Poor",K537&lt;50,"Fail")</f>
        <v>Fail</v>
      </c>
    </row>
    <row r="538" spans="1:16" x14ac:dyDescent="0.25">
      <c r="A538" t="s">
        <v>547</v>
      </c>
      <c r="B538" t="s">
        <v>1546</v>
      </c>
      <c r="C538" t="s">
        <v>2250</v>
      </c>
      <c r="D538" t="s">
        <v>2501</v>
      </c>
      <c r="E538" t="s">
        <v>2007</v>
      </c>
      <c r="F538">
        <v>15</v>
      </c>
      <c r="G538" t="s">
        <v>2011</v>
      </c>
      <c r="H538" t="s">
        <v>2014</v>
      </c>
      <c r="I538" t="s">
        <v>2022</v>
      </c>
      <c r="J538" t="s">
        <v>2024</v>
      </c>
      <c r="K538">
        <v>83</v>
      </c>
      <c r="L538" t="s">
        <v>2027</v>
      </c>
      <c r="M538" t="s">
        <v>2035</v>
      </c>
      <c r="N538" t="str">
        <f t="shared" si="16"/>
        <v>Pass</v>
      </c>
      <c r="O538" t="str">
        <f t="shared" si="17"/>
        <v>UnderAge</v>
      </c>
      <c r="P538" t="str" cm="1">
        <f t="array" ref="P538">_xlfn.IFS(K538&gt;90,"Excellent",K538&gt;80,"Very Good",K538&gt;70,"Good",K538&gt;=50,"Poor",K538&lt;50,"Fail")</f>
        <v>Very Good</v>
      </c>
    </row>
    <row r="539" spans="1:16" x14ac:dyDescent="0.25">
      <c r="A539" t="s">
        <v>548</v>
      </c>
      <c r="B539" t="s">
        <v>1547</v>
      </c>
      <c r="C539" t="s">
        <v>2097</v>
      </c>
      <c r="D539" t="s">
        <v>2510</v>
      </c>
      <c r="E539" t="s">
        <v>2007</v>
      </c>
      <c r="F539">
        <v>16</v>
      </c>
      <c r="G539" t="s">
        <v>2011</v>
      </c>
      <c r="H539" t="s">
        <v>2016</v>
      </c>
      <c r="I539" t="s">
        <v>2019</v>
      </c>
      <c r="J539" t="s">
        <v>2024</v>
      </c>
      <c r="K539">
        <v>75</v>
      </c>
      <c r="L539" t="s">
        <v>2033</v>
      </c>
      <c r="M539" t="s">
        <v>2035</v>
      </c>
      <c r="N539" t="str">
        <f t="shared" si="16"/>
        <v>Pass</v>
      </c>
      <c r="O539" t="str">
        <f t="shared" si="17"/>
        <v>UnderAge</v>
      </c>
      <c r="P539" t="str" cm="1">
        <f t="array" ref="P539">_xlfn.IFS(K539&gt;90,"Excellent",K539&gt;80,"Very Good",K539&gt;70,"Good",K539&gt;=50,"Poor",K539&lt;50,"Fail")</f>
        <v>Good</v>
      </c>
    </row>
    <row r="540" spans="1:16" x14ac:dyDescent="0.25">
      <c r="A540" t="s">
        <v>549</v>
      </c>
      <c r="B540" t="s">
        <v>1548</v>
      </c>
      <c r="C540" t="s">
        <v>2319</v>
      </c>
      <c r="D540" t="s">
        <v>2700</v>
      </c>
      <c r="E540" t="s">
        <v>2007</v>
      </c>
      <c r="F540">
        <v>17</v>
      </c>
      <c r="G540" t="s">
        <v>2009</v>
      </c>
      <c r="H540" t="s">
        <v>2015</v>
      </c>
      <c r="I540" t="s">
        <v>2021</v>
      </c>
      <c r="J540" t="s">
        <v>2024</v>
      </c>
      <c r="K540">
        <v>0</v>
      </c>
      <c r="L540" t="s">
        <v>2033</v>
      </c>
      <c r="M540" t="s">
        <v>2036</v>
      </c>
      <c r="N540" t="str">
        <f t="shared" si="16"/>
        <v>Fail</v>
      </c>
      <c r="O540" t="str">
        <f t="shared" si="17"/>
        <v>UnderAge</v>
      </c>
      <c r="P540" t="str" cm="1">
        <f t="array" ref="P540">_xlfn.IFS(K540&gt;90,"Excellent",K540&gt;80,"Very Good",K540&gt;70,"Good",K540&gt;=50,"Poor",K540&lt;50,"Fail")</f>
        <v>Fail</v>
      </c>
    </row>
    <row r="541" spans="1:16" x14ac:dyDescent="0.25">
      <c r="A541" t="s">
        <v>550</v>
      </c>
      <c r="B541" t="s">
        <v>1549</v>
      </c>
      <c r="C541" t="s">
        <v>2320</v>
      </c>
      <c r="D541" t="s">
        <v>2701</v>
      </c>
      <c r="E541" t="s">
        <v>2008</v>
      </c>
      <c r="F541">
        <v>18</v>
      </c>
      <c r="G541" t="s">
        <v>2011</v>
      </c>
      <c r="H541" t="s">
        <v>2016</v>
      </c>
      <c r="I541" t="s">
        <v>2022</v>
      </c>
      <c r="J541" t="s">
        <v>2024</v>
      </c>
      <c r="K541">
        <v>89</v>
      </c>
      <c r="L541" t="s">
        <v>2031</v>
      </c>
      <c r="M541" t="s">
        <v>2035</v>
      </c>
      <c r="N541" t="str">
        <f t="shared" si="16"/>
        <v>Pass</v>
      </c>
      <c r="O541" t="str">
        <f t="shared" si="17"/>
        <v>Adult</v>
      </c>
      <c r="P541" t="str" cm="1">
        <f t="array" ref="P541">_xlfn.IFS(K541&gt;90,"Excellent",K541&gt;80,"Very Good",K541&gt;70,"Good",K541&gt;=50,"Poor",K541&lt;50,"Fail")</f>
        <v>Very Good</v>
      </c>
    </row>
    <row r="542" spans="1:16" x14ac:dyDescent="0.25">
      <c r="A542" t="s">
        <v>551</v>
      </c>
      <c r="B542" t="s">
        <v>1550</v>
      </c>
      <c r="C542" t="s">
        <v>2321</v>
      </c>
      <c r="D542" t="s">
        <v>2219</v>
      </c>
      <c r="E542" t="s">
        <v>2007</v>
      </c>
      <c r="F542">
        <v>14</v>
      </c>
      <c r="G542" t="s">
        <v>2012</v>
      </c>
      <c r="H542" t="s">
        <v>2016</v>
      </c>
      <c r="I542" t="s">
        <v>2018</v>
      </c>
      <c r="J542" t="s">
        <v>2024</v>
      </c>
      <c r="K542">
        <v>74</v>
      </c>
      <c r="L542" t="s">
        <v>2030</v>
      </c>
      <c r="M542" t="s">
        <v>2035</v>
      </c>
      <c r="N542" t="str">
        <f t="shared" si="16"/>
        <v>Pass</v>
      </c>
      <c r="O542" t="str">
        <f t="shared" si="17"/>
        <v>UnderAge</v>
      </c>
      <c r="P542" t="str" cm="1">
        <f t="array" ref="P542">_xlfn.IFS(K542&gt;90,"Excellent",K542&gt;80,"Very Good",K542&gt;70,"Good",K542&gt;=50,"Poor",K542&lt;50,"Fail")</f>
        <v>Good</v>
      </c>
    </row>
    <row r="543" spans="1:16" x14ac:dyDescent="0.25">
      <c r="A543" t="s">
        <v>552</v>
      </c>
      <c r="B543" t="s">
        <v>1551</v>
      </c>
      <c r="C543" t="s">
        <v>2097</v>
      </c>
      <c r="D543" t="s">
        <v>2584</v>
      </c>
      <c r="E543" t="s">
        <v>2007</v>
      </c>
      <c r="F543">
        <v>17</v>
      </c>
      <c r="G543" t="s">
        <v>2011</v>
      </c>
      <c r="H543" t="s">
        <v>2015</v>
      </c>
      <c r="I543" t="s">
        <v>2021</v>
      </c>
      <c r="J543" t="s">
        <v>2023</v>
      </c>
      <c r="K543">
        <v>49</v>
      </c>
      <c r="L543" t="s">
        <v>2031</v>
      </c>
      <c r="M543" t="s">
        <v>2036</v>
      </c>
      <c r="N543" t="str">
        <f t="shared" si="16"/>
        <v>Fail</v>
      </c>
      <c r="O543" t="str">
        <f t="shared" si="17"/>
        <v>UnderAge</v>
      </c>
      <c r="P543" t="str" cm="1">
        <f t="array" ref="P543">_xlfn.IFS(K543&gt;90,"Excellent",K543&gt;80,"Very Good",K543&gt;70,"Good",K543&gt;=50,"Poor",K543&lt;50,"Fail")</f>
        <v>Fail</v>
      </c>
    </row>
    <row r="544" spans="1:16" x14ac:dyDescent="0.25">
      <c r="A544" t="s">
        <v>553</v>
      </c>
      <c r="B544" t="s">
        <v>1552</v>
      </c>
      <c r="C544" t="s">
        <v>2322</v>
      </c>
      <c r="D544" t="s">
        <v>2702</v>
      </c>
      <c r="E544" t="s">
        <v>2008</v>
      </c>
      <c r="F544">
        <v>14</v>
      </c>
      <c r="G544" t="s">
        <v>2009</v>
      </c>
      <c r="H544" t="s">
        <v>2014</v>
      </c>
      <c r="I544" t="s">
        <v>2020</v>
      </c>
      <c r="J544" t="s">
        <v>2023</v>
      </c>
      <c r="K544">
        <v>68</v>
      </c>
      <c r="L544" t="s">
        <v>2028</v>
      </c>
      <c r="M544" t="s">
        <v>2035</v>
      </c>
      <c r="N544" t="str">
        <f t="shared" si="16"/>
        <v>Pass</v>
      </c>
      <c r="O544" t="str">
        <f t="shared" si="17"/>
        <v>UnderAge</v>
      </c>
      <c r="P544" t="str" cm="1">
        <f t="array" ref="P544">_xlfn.IFS(K544&gt;90,"Excellent",K544&gt;80,"Very Good",K544&gt;70,"Good",K544&gt;=50,"Poor",K544&lt;50,"Fail")</f>
        <v>Poor</v>
      </c>
    </row>
    <row r="545" spans="1:16" x14ac:dyDescent="0.25">
      <c r="A545" t="s">
        <v>554</v>
      </c>
      <c r="B545" t="s">
        <v>1553</v>
      </c>
      <c r="C545" t="s">
        <v>2275</v>
      </c>
      <c r="D545" t="s">
        <v>2703</v>
      </c>
      <c r="E545" t="s">
        <v>2008</v>
      </c>
      <c r="F545">
        <v>16</v>
      </c>
      <c r="G545" t="s">
        <v>2013</v>
      </c>
      <c r="H545" t="s">
        <v>2017</v>
      </c>
      <c r="I545" t="s">
        <v>2021</v>
      </c>
      <c r="J545" t="s">
        <v>2024</v>
      </c>
      <c r="K545">
        <v>95</v>
      </c>
      <c r="L545" t="s">
        <v>2032</v>
      </c>
      <c r="M545" t="s">
        <v>2035</v>
      </c>
      <c r="N545" t="str">
        <f t="shared" si="16"/>
        <v>Pass</v>
      </c>
      <c r="O545" t="str">
        <f t="shared" si="17"/>
        <v>UnderAge</v>
      </c>
      <c r="P545" t="str" cm="1">
        <f t="array" ref="P545">_xlfn.IFS(K545&gt;90,"Excellent",K545&gt;80,"Very Good",K545&gt;70,"Good",K545&gt;=50,"Poor",K545&lt;50,"Fail")</f>
        <v>Excellent</v>
      </c>
    </row>
    <row r="546" spans="1:16" x14ac:dyDescent="0.25">
      <c r="A546" t="s">
        <v>555</v>
      </c>
      <c r="B546" t="s">
        <v>1554</v>
      </c>
      <c r="C546" t="s">
        <v>2142</v>
      </c>
      <c r="D546" t="s">
        <v>2070</v>
      </c>
      <c r="E546" t="s">
        <v>2007</v>
      </c>
      <c r="F546">
        <v>18</v>
      </c>
      <c r="G546" t="s">
        <v>2011</v>
      </c>
      <c r="H546" t="s">
        <v>2016</v>
      </c>
      <c r="I546" t="s">
        <v>2020</v>
      </c>
      <c r="J546" t="s">
        <v>2024</v>
      </c>
      <c r="K546">
        <v>94</v>
      </c>
      <c r="L546" t="s">
        <v>2030</v>
      </c>
      <c r="M546" t="s">
        <v>2035</v>
      </c>
      <c r="N546" t="str">
        <f t="shared" si="16"/>
        <v>Pass</v>
      </c>
      <c r="O546" t="str">
        <f t="shared" si="17"/>
        <v>Adult</v>
      </c>
      <c r="P546" t="str" cm="1">
        <f t="array" ref="P546">_xlfn.IFS(K546&gt;90,"Excellent",K546&gt;80,"Very Good",K546&gt;70,"Good",K546&gt;=50,"Poor",K546&lt;50,"Fail")</f>
        <v>Excellent</v>
      </c>
    </row>
    <row r="547" spans="1:16" x14ac:dyDescent="0.25">
      <c r="A547" t="s">
        <v>556</v>
      </c>
      <c r="B547" t="s">
        <v>1555</v>
      </c>
      <c r="C547" t="s">
        <v>2064</v>
      </c>
      <c r="D547" t="s">
        <v>2704</v>
      </c>
      <c r="E547" t="s">
        <v>2008</v>
      </c>
      <c r="F547">
        <v>14</v>
      </c>
      <c r="G547" t="s">
        <v>2013</v>
      </c>
      <c r="H547" t="s">
        <v>2016</v>
      </c>
      <c r="I547" t="s">
        <v>2019</v>
      </c>
      <c r="J547" t="s">
        <v>2024</v>
      </c>
      <c r="K547">
        <v>47</v>
      </c>
      <c r="L547" t="s">
        <v>2027</v>
      </c>
      <c r="M547" t="s">
        <v>2036</v>
      </c>
      <c r="N547" t="str">
        <f t="shared" si="16"/>
        <v>Fail</v>
      </c>
      <c r="O547" t="str">
        <f t="shared" si="17"/>
        <v>UnderAge</v>
      </c>
      <c r="P547" t="str" cm="1">
        <f t="array" ref="P547">_xlfn.IFS(K547&gt;90,"Excellent",K547&gt;80,"Very Good",K547&gt;70,"Good",K547&gt;=50,"Poor",K547&lt;50,"Fail")</f>
        <v>Fail</v>
      </c>
    </row>
    <row r="548" spans="1:16" x14ac:dyDescent="0.25">
      <c r="A548" t="s">
        <v>557</v>
      </c>
      <c r="B548" t="s">
        <v>1556</v>
      </c>
      <c r="C548" t="s">
        <v>2323</v>
      </c>
      <c r="D548" t="s">
        <v>2705</v>
      </c>
      <c r="E548" t="s">
        <v>2008</v>
      </c>
      <c r="F548">
        <v>15</v>
      </c>
      <c r="G548" t="s">
        <v>2012</v>
      </c>
      <c r="H548" t="s">
        <v>2015</v>
      </c>
      <c r="I548" t="s">
        <v>2021</v>
      </c>
      <c r="J548" t="s">
        <v>2024</v>
      </c>
      <c r="K548">
        <v>1</v>
      </c>
      <c r="L548" t="s">
        <v>2032</v>
      </c>
      <c r="M548" t="s">
        <v>2036</v>
      </c>
      <c r="N548" t="str">
        <f t="shared" si="16"/>
        <v>Fail</v>
      </c>
      <c r="O548" t="str">
        <f t="shared" si="17"/>
        <v>UnderAge</v>
      </c>
      <c r="P548" t="str" cm="1">
        <f t="array" ref="P548">_xlfn.IFS(K548&gt;90,"Excellent",K548&gt;80,"Very Good",K548&gt;70,"Good",K548&gt;=50,"Poor",K548&lt;50,"Fail")</f>
        <v>Fail</v>
      </c>
    </row>
    <row r="549" spans="1:16" x14ac:dyDescent="0.25">
      <c r="A549" t="s">
        <v>558</v>
      </c>
      <c r="B549" t="s">
        <v>1557</v>
      </c>
      <c r="C549" t="s">
        <v>2324</v>
      </c>
      <c r="D549" t="s">
        <v>2574</v>
      </c>
      <c r="E549" t="s">
        <v>2007</v>
      </c>
      <c r="F549">
        <v>18</v>
      </c>
      <c r="G549" t="s">
        <v>2012</v>
      </c>
      <c r="H549" t="s">
        <v>2015</v>
      </c>
      <c r="I549" t="s">
        <v>2019</v>
      </c>
      <c r="J549" t="s">
        <v>2024</v>
      </c>
      <c r="K549">
        <v>56</v>
      </c>
      <c r="L549" t="s">
        <v>2033</v>
      </c>
      <c r="M549" t="s">
        <v>2035</v>
      </c>
      <c r="N549" t="str">
        <f t="shared" si="16"/>
        <v>Pass</v>
      </c>
      <c r="O549" t="str">
        <f t="shared" si="17"/>
        <v>Adult</v>
      </c>
      <c r="P549" t="str" cm="1">
        <f t="array" ref="P549">_xlfn.IFS(K549&gt;90,"Excellent",K549&gt;80,"Very Good",K549&gt;70,"Good",K549&gt;=50,"Poor",K549&lt;50,"Fail")</f>
        <v>Poor</v>
      </c>
    </row>
    <row r="550" spans="1:16" x14ac:dyDescent="0.25">
      <c r="A550" t="s">
        <v>559</v>
      </c>
      <c r="B550" t="s">
        <v>1558</v>
      </c>
      <c r="C550" t="s">
        <v>2325</v>
      </c>
      <c r="D550" t="s">
        <v>2474</v>
      </c>
      <c r="E550" t="s">
        <v>2008</v>
      </c>
      <c r="F550">
        <v>17</v>
      </c>
      <c r="G550" t="s">
        <v>2011</v>
      </c>
      <c r="H550" t="s">
        <v>2014</v>
      </c>
      <c r="I550" t="s">
        <v>2022</v>
      </c>
      <c r="J550" t="s">
        <v>2023</v>
      </c>
      <c r="K550">
        <v>51</v>
      </c>
      <c r="L550" t="s">
        <v>2028</v>
      </c>
      <c r="M550" t="s">
        <v>2035</v>
      </c>
      <c r="N550" t="str">
        <f t="shared" si="16"/>
        <v>Pass</v>
      </c>
      <c r="O550" t="str">
        <f t="shared" si="17"/>
        <v>UnderAge</v>
      </c>
      <c r="P550" t="str" cm="1">
        <f t="array" ref="P550">_xlfn.IFS(K550&gt;90,"Excellent",K550&gt;80,"Very Good",K550&gt;70,"Good",K550&gt;=50,"Poor",K550&lt;50,"Fail")</f>
        <v>Poor</v>
      </c>
    </row>
    <row r="551" spans="1:16" x14ac:dyDescent="0.25">
      <c r="A551" t="s">
        <v>560</v>
      </c>
      <c r="B551" t="s">
        <v>1559</v>
      </c>
      <c r="C551" t="s">
        <v>2069</v>
      </c>
      <c r="D551" t="s">
        <v>2706</v>
      </c>
      <c r="E551" t="s">
        <v>2008</v>
      </c>
      <c r="F551">
        <v>17</v>
      </c>
      <c r="G551" t="s">
        <v>2010</v>
      </c>
      <c r="H551" t="s">
        <v>2014</v>
      </c>
      <c r="I551" t="s">
        <v>2021</v>
      </c>
      <c r="J551" t="s">
        <v>2024</v>
      </c>
      <c r="K551">
        <v>20</v>
      </c>
      <c r="L551" t="s">
        <v>2026</v>
      </c>
      <c r="M551" t="s">
        <v>2036</v>
      </c>
      <c r="N551" t="str">
        <f t="shared" si="16"/>
        <v>Fail</v>
      </c>
      <c r="O551" t="str">
        <f t="shared" si="17"/>
        <v>UnderAge</v>
      </c>
      <c r="P551" t="str" cm="1">
        <f t="array" ref="P551">_xlfn.IFS(K551&gt;90,"Excellent",K551&gt;80,"Very Good",K551&gt;70,"Good",K551&gt;=50,"Poor",K551&lt;50,"Fail")</f>
        <v>Fail</v>
      </c>
    </row>
    <row r="552" spans="1:16" x14ac:dyDescent="0.25">
      <c r="A552" t="s">
        <v>561</v>
      </c>
      <c r="B552" t="s">
        <v>1560</v>
      </c>
      <c r="C552" t="s">
        <v>2112</v>
      </c>
      <c r="D552" t="s">
        <v>2707</v>
      </c>
      <c r="E552" t="s">
        <v>2007</v>
      </c>
      <c r="F552">
        <v>16</v>
      </c>
      <c r="G552" t="s">
        <v>2010</v>
      </c>
      <c r="H552" t="s">
        <v>2016</v>
      </c>
      <c r="I552" t="s">
        <v>2020</v>
      </c>
      <c r="J552" t="s">
        <v>2024</v>
      </c>
      <c r="K552">
        <v>26</v>
      </c>
      <c r="L552" t="s">
        <v>2032</v>
      </c>
      <c r="M552" t="s">
        <v>2036</v>
      </c>
      <c r="N552" t="str">
        <f t="shared" si="16"/>
        <v>Fail</v>
      </c>
      <c r="O552" t="str">
        <f t="shared" si="17"/>
        <v>UnderAge</v>
      </c>
      <c r="P552" t="str" cm="1">
        <f t="array" ref="P552">_xlfn.IFS(K552&gt;90,"Excellent",K552&gt;80,"Very Good",K552&gt;70,"Good",K552&gt;=50,"Poor",K552&lt;50,"Fail")</f>
        <v>Fail</v>
      </c>
    </row>
    <row r="553" spans="1:16" x14ac:dyDescent="0.25">
      <c r="A553" t="s">
        <v>562</v>
      </c>
      <c r="B553" t="s">
        <v>1561</v>
      </c>
      <c r="C553" t="s">
        <v>2290</v>
      </c>
      <c r="D553" t="s">
        <v>2446</v>
      </c>
      <c r="E553" t="s">
        <v>2008</v>
      </c>
      <c r="F553">
        <v>16</v>
      </c>
      <c r="G553" t="s">
        <v>2010</v>
      </c>
      <c r="H553" t="s">
        <v>2017</v>
      </c>
      <c r="I553" t="s">
        <v>2022</v>
      </c>
      <c r="J553" t="s">
        <v>2023</v>
      </c>
      <c r="K553">
        <v>55</v>
      </c>
      <c r="L553" t="s">
        <v>2028</v>
      </c>
      <c r="M553" t="s">
        <v>2035</v>
      </c>
      <c r="N553" t="str">
        <f t="shared" si="16"/>
        <v>Pass</v>
      </c>
      <c r="O553" t="str">
        <f t="shared" si="17"/>
        <v>UnderAge</v>
      </c>
      <c r="P553" t="str" cm="1">
        <f t="array" ref="P553">_xlfn.IFS(K553&gt;90,"Excellent",K553&gt;80,"Very Good",K553&gt;70,"Good",K553&gt;=50,"Poor",K553&lt;50,"Fail")</f>
        <v>Poor</v>
      </c>
    </row>
    <row r="554" spans="1:16" x14ac:dyDescent="0.25">
      <c r="A554" t="s">
        <v>563</v>
      </c>
      <c r="B554" t="s">
        <v>1562</v>
      </c>
      <c r="C554" t="s">
        <v>2151</v>
      </c>
      <c r="D554" t="s">
        <v>2708</v>
      </c>
      <c r="E554" t="s">
        <v>2008</v>
      </c>
      <c r="F554">
        <v>16</v>
      </c>
      <c r="G554" t="s">
        <v>2009</v>
      </c>
      <c r="H554" t="s">
        <v>2016</v>
      </c>
      <c r="I554" t="s">
        <v>2021</v>
      </c>
      <c r="J554" t="s">
        <v>2024</v>
      </c>
      <c r="K554">
        <v>13</v>
      </c>
      <c r="L554" t="s">
        <v>2031</v>
      </c>
      <c r="M554" t="s">
        <v>2036</v>
      </c>
      <c r="N554" t="str">
        <f t="shared" si="16"/>
        <v>Fail</v>
      </c>
      <c r="O554" t="str">
        <f t="shared" si="17"/>
        <v>UnderAge</v>
      </c>
      <c r="P554" t="str" cm="1">
        <f t="array" ref="P554">_xlfn.IFS(K554&gt;90,"Excellent",K554&gt;80,"Very Good",K554&gt;70,"Good",K554&gt;=50,"Poor",K554&lt;50,"Fail")</f>
        <v>Fail</v>
      </c>
    </row>
    <row r="555" spans="1:16" x14ac:dyDescent="0.25">
      <c r="A555" t="s">
        <v>564</v>
      </c>
      <c r="B555" t="s">
        <v>1563</v>
      </c>
      <c r="C555" t="s">
        <v>2148</v>
      </c>
      <c r="D555" t="s">
        <v>2424</v>
      </c>
      <c r="E555" t="s">
        <v>2007</v>
      </c>
      <c r="F555">
        <v>15</v>
      </c>
      <c r="G555" t="s">
        <v>2011</v>
      </c>
      <c r="H555" t="s">
        <v>2015</v>
      </c>
      <c r="I555" t="s">
        <v>2018</v>
      </c>
      <c r="J555" t="s">
        <v>2024</v>
      </c>
      <c r="K555">
        <v>90</v>
      </c>
      <c r="L555" t="s">
        <v>2031</v>
      </c>
      <c r="M555" t="s">
        <v>2035</v>
      </c>
      <c r="N555" t="str">
        <f t="shared" si="16"/>
        <v>Pass</v>
      </c>
      <c r="O555" t="str">
        <f t="shared" si="17"/>
        <v>UnderAge</v>
      </c>
      <c r="P555" t="str" cm="1">
        <f t="array" ref="P555">_xlfn.IFS(K555&gt;90,"Excellent",K555&gt;80,"Very Good",K555&gt;70,"Good",K555&gt;=50,"Poor",K555&lt;50,"Fail")</f>
        <v>Very Good</v>
      </c>
    </row>
    <row r="556" spans="1:16" x14ac:dyDescent="0.25">
      <c r="A556" t="s">
        <v>565</v>
      </c>
      <c r="B556" t="s">
        <v>1564</v>
      </c>
      <c r="C556" t="s">
        <v>2151</v>
      </c>
      <c r="D556" t="s">
        <v>2060</v>
      </c>
      <c r="E556" t="s">
        <v>2007</v>
      </c>
      <c r="F556">
        <v>17</v>
      </c>
      <c r="G556" t="s">
        <v>2013</v>
      </c>
      <c r="H556" t="s">
        <v>2014</v>
      </c>
      <c r="I556" t="s">
        <v>2019</v>
      </c>
      <c r="J556" t="s">
        <v>2024</v>
      </c>
      <c r="K556">
        <v>91</v>
      </c>
      <c r="L556" t="s">
        <v>2031</v>
      </c>
      <c r="M556" t="s">
        <v>2035</v>
      </c>
      <c r="N556" t="str">
        <f t="shared" si="16"/>
        <v>Pass</v>
      </c>
      <c r="O556" t="str">
        <f t="shared" si="17"/>
        <v>UnderAge</v>
      </c>
      <c r="P556" t="str" cm="1">
        <f t="array" ref="P556">_xlfn.IFS(K556&gt;90,"Excellent",K556&gt;80,"Very Good",K556&gt;70,"Good",K556&gt;=50,"Poor",K556&lt;50,"Fail")</f>
        <v>Excellent</v>
      </c>
    </row>
    <row r="557" spans="1:16" x14ac:dyDescent="0.25">
      <c r="A557" t="s">
        <v>566</v>
      </c>
      <c r="B557" t="s">
        <v>1565</v>
      </c>
      <c r="C557" t="s">
        <v>2294</v>
      </c>
      <c r="D557" t="s">
        <v>2709</v>
      </c>
      <c r="E557" t="s">
        <v>2007</v>
      </c>
      <c r="F557">
        <v>17</v>
      </c>
      <c r="G557" t="s">
        <v>2013</v>
      </c>
      <c r="H557" t="s">
        <v>2016</v>
      </c>
      <c r="I557" t="s">
        <v>2022</v>
      </c>
      <c r="J557" t="s">
        <v>2024</v>
      </c>
      <c r="K557">
        <v>55</v>
      </c>
      <c r="L557" t="s">
        <v>2029</v>
      </c>
      <c r="M557" t="s">
        <v>2035</v>
      </c>
      <c r="N557" t="str">
        <f t="shared" si="16"/>
        <v>Pass</v>
      </c>
      <c r="O557" t="str">
        <f t="shared" si="17"/>
        <v>UnderAge</v>
      </c>
      <c r="P557" t="str" cm="1">
        <f t="array" ref="P557">_xlfn.IFS(K557&gt;90,"Excellent",K557&gt;80,"Very Good",K557&gt;70,"Good",K557&gt;=50,"Poor",K557&lt;50,"Fail")</f>
        <v>Poor</v>
      </c>
    </row>
    <row r="558" spans="1:16" x14ac:dyDescent="0.25">
      <c r="A558" t="s">
        <v>567</v>
      </c>
      <c r="B558" t="s">
        <v>1566</v>
      </c>
      <c r="C558" t="s">
        <v>2326</v>
      </c>
      <c r="D558" t="s">
        <v>2710</v>
      </c>
      <c r="E558" t="s">
        <v>2008</v>
      </c>
      <c r="F558">
        <v>16</v>
      </c>
      <c r="G558" t="s">
        <v>2009</v>
      </c>
      <c r="H558" t="s">
        <v>2016</v>
      </c>
      <c r="I558" t="s">
        <v>2018</v>
      </c>
      <c r="J558" t="s">
        <v>2024</v>
      </c>
      <c r="K558">
        <v>69</v>
      </c>
      <c r="L558" t="s">
        <v>2031</v>
      </c>
      <c r="M558" t="s">
        <v>2035</v>
      </c>
      <c r="N558" t="str">
        <f t="shared" si="16"/>
        <v>Pass</v>
      </c>
      <c r="O558" t="str">
        <f t="shared" si="17"/>
        <v>UnderAge</v>
      </c>
      <c r="P558" t="str" cm="1">
        <f t="array" ref="P558">_xlfn.IFS(K558&gt;90,"Excellent",K558&gt;80,"Very Good",K558&gt;70,"Good",K558&gt;=50,"Poor",K558&lt;50,"Fail")</f>
        <v>Poor</v>
      </c>
    </row>
    <row r="559" spans="1:16" x14ac:dyDescent="0.25">
      <c r="A559" t="s">
        <v>568</v>
      </c>
      <c r="B559" t="s">
        <v>1567</v>
      </c>
      <c r="C559" t="s">
        <v>2327</v>
      </c>
      <c r="D559" t="s">
        <v>2154</v>
      </c>
      <c r="E559" t="s">
        <v>2008</v>
      </c>
      <c r="F559">
        <v>16</v>
      </c>
      <c r="G559" t="s">
        <v>2012</v>
      </c>
      <c r="H559" t="s">
        <v>2016</v>
      </c>
      <c r="I559" t="s">
        <v>2020</v>
      </c>
      <c r="J559" t="s">
        <v>2023</v>
      </c>
      <c r="K559">
        <v>68</v>
      </c>
      <c r="L559" t="s">
        <v>2025</v>
      </c>
      <c r="M559" t="s">
        <v>2035</v>
      </c>
      <c r="N559" t="str">
        <f t="shared" si="16"/>
        <v>Pass</v>
      </c>
      <c r="O559" t="str">
        <f t="shared" si="17"/>
        <v>UnderAge</v>
      </c>
      <c r="P559" t="str" cm="1">
        <f t="array" ref="P559">_xlfn.IFS(K559&gt;90,"Excellent",K559&gt;80,"Very Good",K559&gt;70,"Good",K559&gt;=50,"Poor",K559&lt;50,"Fail")</f>
        <v>Poor</v>
      </c>
    </row>
    <row r="560" spans="1:16" x14ac:dyDescent="0.25">
      <c r="A560" t="s">
        <v>569</v>
      </c>
      <c r="B560" t="s">
        <v>1568</v>
      </c>
      <c r="C560" t="s">
        <v>2328</v>
      </c>
      <c r="D560" t="s">
        <v>2593</v>
      </c>
      <c r="E560" t="s">
        <v>2007</v>
      </c>
      <c r="F560">
        <v>14</v>
      </c>
      <c r="G560" t="s">
        <v>2013</v>
      </c>
      <c r="H560" t="s">
        <v>2016</v>
      </c>
      <c r="I560" t="s">
        <v>2020</v>
      </c>
      <c r="J560" t="s">
        <v>2024</v>
      </c>
      <c r="K560">
        <v>17</v>
      </c>
      <c r="L560" t="s">
        <v>2025</v>
      </c>
      <c r="M560" t="s">
        <v>2036</v>
      </c>
      <c r="N560" t="str">
        <f t="shared" si="16"/>
        <v>Fail</v>
      </c>
      <c r="O560" t="str">
        <f t="shared" si="17"/>
        <v>UnderAge</v>
      </c>
      <c r="P560" t="str" cm="1">
        <f t="array" ref="P560">_xlfn.IFS(K560&gt;90,"Excellent",K560&gt;80,"Very Good",K560&gt;70,"Good",K560&gt;=50,"Poor",K560&lt;50,"Fail")</f>
        <v>Fail</v>
      </c>
    </row>
    <row r="561" spans="1:16" x14ac:dyDescent="0.25">
      <c r="A561" t="s">
        <v>570</v>
      </c>
      <c r="B561" t="s">
        <v>1569</v>
      </c>
      <c r="C561" t="s">
        <v>2157</v>
      </c>
      <c r="D561" t="s">
        <v>2711</v>
      </c>
      <c r="E561" t="s">
        <v>2007</v>
      </c>
      <c r="F561">
        <v>15</v>
      </c>
      <c r="G561" t="s">
        <v>2013</v>
      </c>
      <c r="H561" t="s">
        <v>2016</v>
      </c>
      <c r="I561" t="s">
        <v>2018</v>
      </c>
      <c r="J561" t="s">
        <v>2023</v>
      </c>
      <c r="K561">
        <v>1</v>
      </c>
      <c r="L561" t="s">
        <v>2027</v>
      </c>
      <c r="M561" t="s">
        <v>2036</v>
      </c>
      <c r="N561" t="str">
        <f t="shared" si="16"/>
        <v>Fail</v>
      </c>
      <c r="O561" t="str">
        <f t="shared" si="17"/>
        <v>UnderAge</v>
      </c>
      <c r="P561" t="str" cm="1">
        <f t="array" ref="P561">_xlfn.IFS(K561&gt;90,"Excellent",K561&gt;80,"Very Good",K561&gt;70,"Good",K561&gt;=50,"Poor",K561&lt;50,"Fail")</f>
        <v>Fail</v>
      </c>
    </row>
    <row r="562" spans="1:16" x14ac:dyDescent="0.25">
      <c r="A562" t="s">
        <v>571</v>
      </c>
      <c r="B562" t="s">
        <v>1570</v>
      </c>
      <c r="C562" t="s">
        <v>2072</v>
      </c>
      <c r="D562" t="s">
        <v>2228</v>
      </c>
      <c r="E562" t="s">
        <v>2007</v>
      </c>
      <c r="F562">
        <v>15</v>
      </c>
      <c r="G562" t="s">
        <v>2009</v>
      </c>
      <c r="H562" t="s">
        <v>2014</v>
      </c>
      <c r="I562" t="s">
        <v>2021</v>
      </c>
      <c r="J562" t="s">
        <v>2023</v>
      </c>
      <c r="K562">
        <v>21</v>
      </c>
      <c r="L562" t="s">
        <v>2033</v>
      </c>
      <c r="M562" t="s">
        <v>2036</v>
      </c>
      <c r="N562" t="str">
        <f t="shared" si="16"/>
        <v>Fail</v>
      </c>
      <c r="O562" t="str">
        <f t="shared" si="17"/>
        <v>UnderAge</v>
      </c>
      <c r="P562" t="str" cm="1">
        <f t="array" ref="P562">_xlfn.IFS(K562&gt;90,"Excellent",K562&gt;80,"Very Good",K562&gt;70,"Good",K562&gt;=50,"Poor",K562&lt;50,"Fail")</f>
        <v>Fail</v>
      </c>
    </row>
    <row r="563" spans="1:16" x14ac:dyDescent="0.25">
      <c r="A563" t="s">
        <v>572</v>
      </c>
      <c r="B563" t="s">
        <v>1571</v>
      </c>
      <c r="C563" t="s">
        <v>2271</v>
      </c>
      <c r="D563" t="s">
        <v>2619</v>
      </c>
      <c r="E563" t="s">
        <v>2007</v>
      </c>
      <c r="F563">
        <v>14</v>
      </c>
      <c r="G563" t="s">
        <v>2011</v>
      </c>
      <c r="H563" t="s">
        <v>2016</v>
      </c>
      <c r="I563" t="s">
        <v>2018</v>
      </c>
      <c r="J563" t="s">
        <v>2024</v>
      </c>
      <c r="K563">
        <v>51</v>
      </c>
      <c r="L563" t="s">
        <v>2033</v>
      </c>
      <c r="M563" t="s">
        <v>2035</v>
      </c>
      <c r="N563" t="str">
        <f t="shared" si="16"/>
        <v>Pass</v>
      </c>
      <c r="O563" t="str">
        <f t="shared" si="17"/>
        <v>UnderAge</v>
      </c>
      <c r="P563" t="str" cm="1">
        <f t="array" ref="P563">_xlfn.IFS(K563&gt;90,"Excellent",K563&gt;80,"Very Good",K563&gt;70,"Good",K563&gt;=50,"Poor",K563&lt;50,"Fail")</f>
        <v>Poor</v>
      </c>
    </row>
    <row r="564" spans="1:16" x14ac:dyDescent="0.25">
      <c r="A564" t="s">
        <v>573</v>
      </c>
      <c r="B564" t="s">
        <v>1572</v>
      </c>
      <c r="C564" t="s">
        <v>2098</v>
      </c>
      <c r="D564" t="s">
        <v>2712</v>
      </c>
      <c r="E564" t="s">
        <v>2007</v>
      </c>
      <c r="F564">
        <v>17</v>
      </c>
      <c r="G564" t="s">
        <v>2010</v>
      </c>
      <c r="H564" t="s">
        <v>2015</v>
      </c>
      <c r="I564" t="s">
        <v>2022</v>
      </c>
      <c r="J564" t="s">
        <v>2024</v>
      </c>
      <c r="K564">
        <v>96</v>
      </c>
      <c r="L564" t="s">
        <v>2034</v>
      </c>
      <c r="M564" t="s">
        <v>2035</v>
      </c>
      <c r="N564" t="str">
        <f t="shared" si="16"/>
        <v>Pass</v>
      </c>
      <c r="O564" t="str">
        <f t="shared" si="17"/>
        <v>UnderAge</v>
      </c>
      <c r="P564" t="str" cm="1">
        <f t="array" ref="P564">_xlfn.IFS(K564&gt;90,"Excellent",K564&gt;80,"Very Good",K564&gt;70,"Good",K564&gt;=50,"Poor",K564&lt;50,"Fail")</f>
        <v>Excellent</v>
      </c>
    </row>
    <row r="565" spans="1:16" x14ac:dyDescent="0.25">
      <c r="A565" t="s">
        <v>574</v>
      </c>
      <c r="B565" t="s">
        <v>1573</v>
      </c>
      <c r="C565" t="s">
        <v>2306</v>
      </c>
      <c r="D565" t="s">
        <v>2713</v>
      </c>
      <c r="E565" t="s">
        <v>2008</v>
      </c>
      <c r="F565">
        <v>17</v>
      </c>
      <c r="G565" t="s">
        <v>2009</v>
      </c>
      <c r="H565" t="s">
        <v>2015</v>
      </c>
      <c r="I565" t="s">
        <v>2019</v>
      </c>
      <c r="J565" t="s">
        <v>2023</v>
      </c>
      <c r="K565">
        <v>23</v>
      </c>
      <c r="L565" t="s">
        <v>2028</v>
      </c>
      <c r="M565" t="s">
        <v>2036</v>
      </c>
      <c r="N565" t="str">
        <f t="shared" si="16"/>
        <v>Fail</v>
      </c>
      <c r="O565" t="str">
        <f t="shared" si="17"/>
        <v>UnderAge</v>
      </c>
      <c r="P565" t="str" cm="1">
        <f t="array" ref="P565">_xlfn.IFS(K565&gt;90,"Excellent",K565&gt;80,"Very Good",K565&gt;70,"Good",K565&gt;=50,"Poor",K565&lt;50,"Fail")</f>
        <v>Fail</v>
      </c>
    </row>
    <row r="566" spans="1:16" x14ac:dyDescent="0.25">
      <c r="A566" t="s">
        <v>575</v>
      </c>
      <c r="B566" t="s">
        <v>1574</v>
      </c>
      <c r="C566" t="s">
        <v>2139</v>
      </c>
      <c r="D566" t="s">
        <v>2520</v>
      </c>
      <c r="E566" t="s">
        <v>2008</v>
      </c>
      <c r="F566">
        <v>18</v>
      </c>
      <c r="G566" t="s">
        <v>2013</v>
      </c>
      <c r="H566" t="s">
        <v>2017</v>
      </c>
      <c r="I566" t="s">
        <v>2020</v>
      </c>
      <c r="J566" t="s">
        <v>2023</v>
      </c>
      <c r="K566">
        <v>69</v>
      </c>
      <c r="L566" t="s">
        <v>2026</v>
      </c>
      <c r="M566" t="s">
        <v>2035</v>
      </c>
      <c r="N566" t="str">
        <f t="shared" si="16"/>
        <v>Pass</v>
      </c>
      <c r="O566" t="str">
        <f t="shared" si="17"/>
        <v>Adult</v>
      </c>
      <c r="P566" t="str" cm="1">
        <f t="array" ref="P566">_xlfn.IFS(K566&gt;90,"Excellent",K566&gt;80,"Very Good",K566&gt;70,"Good",K566&gt;=50,"Poor",K566&lt;50,"Fail")</f>
        <v>Poor</v>
      </c>
    </row>
    <row r="567" spans="1:16" x14ac:dyDescent="0.25">
      <c r="A567" t="s">
        <v>576</v>
      </c>
      <c r="B567" t="s">
        <v>1575</v>
      </c>
      <c r="C567" t="s">
        <v>2329</v>
      </c>
      <c r="D567" t="s">
        <v>2538</v>
      </c>
      <c r="E567" t="s">
        <v>2007</v>
      </c>
      <c r="F567">
        <v>17</v>
      </c>
      <c r="G567" t="s">
        <v>2012</v>
      </c>
      <c r="H567" t="s">
        <v>2016</v>
      </c>
      <c r="I567" t="s">
        <v>2020</v>
      </c>
      <c r="J567" t="s">
        <v>2024</v>
      </c>
      <c r="K567">
        <v>38</v>
      </c>
      <c r="L567" t="s">
        <v>2027</v>
      </c>
      <c r="M567" t="s">
        <v>2036</v>
      </c>
      <c r="N567" t="str">
        <f t="shared" si="16"/>
        <v>Fail</v>
      </c>
      <c r="O567" t="str">
        <f t="shared" si="17"/>
        <v>UnderAge</v>
      </c>
      <c r="P567" t="str" cm="1">
        <f t="array" ref="P567">_xlfn.IFS(K567&gt;90,"Excellent",K567&gt;80,"Very Good",K567&gt;70,"Good",K567&gt;=50,"Poor",K567&lt;50,"Fail")</f>
        <v>Fail</v>
      </c>
    </row>
    <row r="568" spans="1:16" x14ac:dyDescent="0.25">
      <c r="A568" t="s">
        <v>577</v>
      </c>
      <c r="B568" t="s">
        <v>1576</v>
      </c>
      <c r="C568" t="s">
        <v>2145</v>
      </c>
      <c r="D568" t="s">
        <v>2219</v>
      </c>
      <c r="E568" t="s">
        <v>2007</v>
      </c>
      <c r="F568">
        <v>16</v>
      </c>
      <c r="G568" t="s">
        <v>2012</v>
      </c>
      <c r="H568" t="s">
        <v>2015</v>
      </c>
      <c r="I568" t="s">
        <v>2019</v>
      </c>
      <c r="J568" t="s">
        <v>2024</v>
      </c>
      <c r="K568">
        <v>66</v>
      </c>
      <c r="L568" t="s">
        <v>2027</v>
      </c>
      <c r="M568" t="s">
        <v>2035</v>
      </c>
      <c r="N568" t="str">
        <f t="shared" si="16"/>
        <v>Pass</v>
      </c>
      <c r="O568" t="str">
        <f t="shared" si="17"/>
        <v>UnderAge</v>
      </c>
      <c r="P568" t="str" cm="1">
        <f t="array" ref="P568">_xlfn.IFS(K568&gt;90,"Excellent",K568&gt;80,"Very Good",K568&gt;70,"Good",K568&gt;=50,"Poor",K568&lt;50,"Fail")</f>
        <v>Poor</v>
      </c>
    </row>
    <row r="569" spans="1:16" x14ac:dyDescent="0.25">
      <c r="A569" t="s">
        <v>578</v>
      </c>
      <c r="B569" t="s">
        <v>1577</v>
      </c>
      <c r="C569" t="s">
        <v>2330</v>
      </c>
      <c r="D569" t="s">
        <v>2210</v>
      </c>
      <c r="E569" t="s">
        <v>2007</v>
      </c>
      <c r="F569">
        <v>14</v>
      </c>
      <c r="G569" t="s">
        <v>2013</v>
      </c>
      <c r="H569" t="s">
        <v>2017</v>
      </c>
      <c r="I569" t="s">
        <v>2022</v>
      </c>
      <c r="J569" t="s">
        <v>2023</v>
      </c>
      <c r="K569">
        <v>95</v>
      </c>
      <c r="L569" t="s">
        <v>2031</v>
      </c>
      <c r="M569" t="s">
        <v>2035</v>
      </c>
      <c r="N569" t="str">
        <f t="shared" si="16"/>
        <v>Pass</v>
      </c>
      <c r="O569" t="str">
        <f t="shared" si="17"/>
        <v>UnderAge</v>
      </c>
      <c r="P569" t="str" cm="1">
        <f t="array" ref="P569">_xlfn.IFS(K569&gt;90,"Excellent",K569&gt;80,"Very Good",K569&gt;70,"Good",K569&gt;=50,"Poor",K569&lt;50,"Fail")</f>
        <v>Excellent</v>
      </c>
    </row>
    <row r="570" spans="1:16" x14ac:dyDescent="0.25">
      <c r="A570" t="s">
        <v>579</v>
      </c>
      <c r="B570" t="s">
        <v>1578</v>
      </c>
      <c r="C570" t="s">
        <v>2070</v>
      </c>
      <c r="D570" t="s">
        <v>2044</v>
      </c>
      <c r="E570" t="s">
        <v>2008</v>
      </c>
      <c r="F570">
        <v>18</v>
      </c>
      <c r="G570" t="s">
        <v>2013</v>
      </c>
      <c r="H570" t="s">
        <v>2015</v>
      </c>
      <c r="I570" t="s">
        <v>2019</v>
      </c>
      <c r="J570" t="s">
        <v>2024</v>
      </c>
      <c r="K570">
        <v>84</v>
      </c>
      <c r="L570" t="s">
        <v>2032</v>
      </c>
      <c r="M570" t="s">
        <v>2035</v>
      </c>
      <c r="N570" t="str">
        <f t="shared" si="16"/>
        <v>Pass</v>
      </c>
      <c r="O570" t="str">
        <f t="shared" si="17"/>
        <v>Adult</v>
      </c>
      <c r="P570" t="str" cm="1">
        <f t="array" ref="P570">_xlfn.IFS(K570&gt;90,"Excellent",K570&gt;80,"Very Good",K570&gt;70,"Good",K570&gt;=50,"Poor",K570&lt;50,"Fail")</f>
        <v>Very Good</v>
      </c>
    </row>
    <row r="571" spans="1:16" x14ac:dyDescent="0.25">
      <c r="A571" t="s">
        <v>580</v>
      </c>
      <c r="B571" t="s">
        <v>1579</v>
      </c>
      <c r="C571" t="s">
        <v>2271</v>
      </c>
      <c r="D571" t="s">
        <v>2714</v>
      </c>
      <c r="E571" t="s">
        <v>2008</v>
      </c>
      <c r="F571">
        <v>18</v>
      </c>
      <c r="G571" t="s">
        <v>2009</v>
      </c>
      <c r="H571" t="s">
        <v>2017</v>
      </c>
      <c r="I571" t="s">
        <v>2022</v>
      </c>
      <c r="J571" t="s">
        <v>2023</v>
      </c>
      <c r="K571">
        <v>36</v>
      </c>
      <c r="L571" t="s">
        <v>2032</v>
      </c>
      <c r="M571" t="s">
        <v>2036</v>
      </c>
      <c r="N571" t="str">
        <f t="shared" si="16"/>
        <v>Fail</v>
      </c>
      <c r="O571" t="str">
        <f t="shared" si="17"/>
        <v>Adult</v>
      </c>
      <c r="P571" t="str" cm="1">
        <f t="array" ref="P571">_xlfn.IFS(K571&gt;90,"Excellent",K571&gt;80,"Very Good",K571&gt;70,"Good",K571&gt;=50,"Poor",K571&lt;50,"Fail")</f>
        <v>Fail</v>
      </c>
    </row>
    <row r="572" spans="1:16" x14ac:dyDescent="0.25">
      <c r="A572" t="s">
        <v>581</v>
      </c>
      <c r="B572" t="s">
        <v>1580</v>
      </c>
      <c r="C572" t="s">
        <v>2153</v>
      </c>
      <c r="D572" t="s">
        <v>2715</v>
      </c>
      <c r="E572" t="s">
        <v>2008</v>
      </c>
      <c r="F572">
        <v>15</v>
      </c>
      <c r="G572" t="s">
        <v>2012</v>
      </c>
      <c r="H572" t="s">
        <v>2016</v>
      </c>
      <c r="I572" t="s">
        <v>2021</v>
      </c>
      <c r="J572" t="s">
        <v>2023</v>
      </c>
      <c r="K572">
        <v>70</v>
      </c>
      <c r="L572" t="s">
        <v>2030</v>
      </c>
      <c r="M572" t="s">
        <v>2035</v>
      </c>
      <c r="N572" t="str">
        <f t="shared" si="16"/>
        <v>Pass</v>
      </c>
      <c r="O572" t="str">
        <f t="shared" si="17"/>
        <v>UnderAge</v>
      </c>
      <c r="P572" t="str" cm="1">
        <f t="array" ref="P572">_xlfn.IFS(K572&gt;90,"Excellent",K572&gt;80,"Very Good",K572&gt;70,"Good",K572&gt;=50,"Poor",K572&lt;50,"Fail")</f>
        <v>Poor</v>
      </c>
    </row>
    <row r="573" spans="1:16" x14ac:dyDescent="0.25">
      <c r="A573" t="s">
        <v>582</v>
      </c>
      <c r="B573" t="s">
        <v>1581</v>
      </c>
      <c r="C573" t="s">
        <v>2331</v>
      </c>
      <c r="D573" t="s">
        <v>2546</v>
      </c>
      <c r="E573" t="s">
        <v>2007</v>
      </c>
      <c r="F573">
        <v>15</v>
      </c>
      <c r="G573" t="s">
        <v>2011</v>
      </c>
      <c r="H573" t="s">
        <v>2015</v>
      </c>
      <c r="I573" t="s">
        <v>2018</v>
      </c>
      <c r="J573" t="s">
        <v>2024</v>
      </c>
      <c r="K573">
        <v>15</v>
      </c>
      <c r="L573" t="s">
        <v>2026</v>
      </c>
      <c r="M573" t="s">
        <v>2036</v>
      </c>
      <c r="N573" t="str">
        <f t="shared" si="16"/>
        <v>Fail</v>
      </c>
      <c r="O573" t="str">
        <f t="shared" si="17"/>
        <v>UnderAge</v>
      </c>
      <c r="P573" t="str" cm="1">
        <f t="array" ref="P573">_xlfn.IFS(K573&gt;90,"Excellent",K573&gt;80,"Very Good",K573&gt;70,"Good",K573&gt;=50,"Poor",K573&lt;50,"Fail")</f>
        <v>Fail</v>
      </c>
    </row>
    <row r="574" spans="1:16" x14ac:dyDescent="0.25">
      <c r="A574" t="s">
        <v>583</v>
      </c>
      <c r="B574" t="s">
        <v>1582</v>
      </c>
      <c r="C574" t="s">
        <v>2111</v>
      </c>
      <c r="D574" t="s">
        <v>2056</v>
      </c>
      <c r="E574" t="s">
        <v>2008</v>
      </c>
      <c r="F574">
        <v>17</v>
      </c>
      <c r="G574" t="s">
        <v>2009</v>
      </c>
      <c r="H574" t="s">
        <v>2016</v>
      </c>
      <c r="I574" t="s">
        <v>2019</v>
      </c>
      <c r="J574" t="s">
        <v>2023</v>
      </c>
      <c r="K574">
        <v>8</v>
      </c>
      <c r="L574" t="s">
        <v>2032</v>
      </c>
      <c r="M574" t="s">
        <v>2036</v>
      </c>
      <c r="N574" t="str">
        <f t="shared" si="16"/>
        <v>Fail</v>
      </c>
      <c r="O574" t="str">
        <f t="shared" si="17"/>
        <v>UnderAge</v>
      </c>
      <c r="P574" t="str" cm="1">
        <f t="array" ref="P574">_xlfn.IFS(K574&gt;90,"Excellent",K574&gt;80,"Very Good",K574&gt;70,"Good",K574&gt;=50,"Poor",K574&lt;50,"Fail")</f>
        <v>Fail</v>
      </c>
    </row>
    <row r="575" spans="1:16" x14ac:dyDescent="0.25">
      <c r="A575" t="s">
        <v>584</v>
      </c>
      <c r="B575" t="s">
        <v>1583</v>
      </c>
      <c r="C575" t="s">
        <v>2139</v>
      </c>
      <c r="D575" t="s">
        <v>2716</v>
      </c>
      <c r="E575" t="s">
        <v>2008</v>
      </c>
      <c r="F575">
        <v>16</v>
      </c>
      <c r="G575" t="s">
        <v>2011</v>
      </c>
      <c r="H575" t="s">
        <v>2014</v>
      </c>
      <c r="I575" t="s">
        <v>2021</v>
      </c>
      <c r="J575" t="s">
        <v>2024</v>
      </c>
      <c r="K575">
        <v>88</v>
      </c>
      <c r="L575" t="s">
        <v>2034</v>
      </c>
      <c r="M575" t="s">
        <v>2035</v>
      </c>
      <c r="N575" t="str">
        <f t="shared" si="16"/>
        <v>Pass</v>
      </c>
      <c r="O575" t="str">
        <f t="shared" si="17"/>
        <v>UnderAge</v>
      </c>
      <c r="P575" t="str" cm="1">
        <f t="array" ref="P575">_xlfn.IFS(K575&gt;90,"Excellent",K575&gt;80,"Very Good",K575&gt;70,"Good",K575&gt;=50,"Poor",K575&lt;50,"Fail")</f>
        <v>Very Good</v>
      </c>
    </row>
    <row r="576" spans="1:16" x14ac:dyDescent="0.25">
      <c r="A576" t="s">
        <v>585</v>
      </c>
      <c r="B576" t="s">
        <v>1584</v>
      </c>
      <c r="C576" t="s">
        <v>2188</v>
      </c>
      <c r="D576" t="s">
        <v>2058</v>
      </c>
      <c r="E576" t="s">
        <v>2007</v>
      </c>
      <c r="F576">
        <v>15</v>
      </c>
      <c r="G576" t="s">
        <v>2009</v>
      </c>
      <c r="H576" t="s">
        <v>2017</v>
      </c>
      <c r="I576" t="s">
        <v>2020</v>
      </c>
      <c r="J576" t="s">
        <v>2024</v>
      </c>
      <c r="K576">
        <v>28</v>
      </c>
      <c r="L576" t="s">
        <v>2031</v>
      </c>
      <c r="M576" t="s">
        <v>2036</v>
      </c>
      <c r="N576" t="str">
        <f t="shared" si="16"/>
        <v>Fail</v>
      </c>
      <c r="O576" t="str">
        <f t="shared" si="17"/>
        <v>UnderAge</v>
      </c>
      <c r="P576" t="str" cm="1">
        <f t="array" ref="P576">_xlfn.IFS(K576&gt;90,"Excellent",K576&gt;80,"Very Good",K576&gt;70,"Good",K576&gt;=50,"Poor",K576&lt;50,"Fail")</f>
        <v>Fail</v>
      </c>
    </row>
    <row r="577" spans="1:16" x14ac:dyDescent="0.25">
      <c r="A577" t="s">
        <v>586</v>
      </c>
      <c r="B577" t="s">
        <v>1585</v>
      </c>
      <c r="C577" t="s">
        <v>2217</v>
      </c>
      <c r="D577" t="s">
        <v>2717</v>
      </c>
      <c r="E577" t="s">
        <v>2008</v>
      </c>
      <c r="F577">
        <v>17</v>
      </c>
      <c r="G577" t="s">
        <v>2013</v>
      </c>
      <c r="H577" t="s">
        <v>2017</v>
      </c>
      <c r="I577" t="s">
        <v>2020</v>
      </c>
      <c r="J577" t="s">
        <v>2023</v>
      </c>
      <c r="K577">
        <v>11</v>
      </c>
      <c r="L577" t="s">
        <v>2032</v>
      </c>
      <c r="M577" t="s">
        <v>2036</v>
      </c>
      <c r="N577" t="str">
        <f t="shared" si="16"/>
        <v>Fail</v>
      </c>
      <c r="O577" t="str">
        <f t="shared" si="17"/>
        <v>UnderAge</v>
      </c>
      <c r="P577" t="str" cm="1">
        <f t="array" ref="P577">_xlfn.IFS(K577&gt;90,"Excellent",K577&gt;80,"Very Good",K577&gt;70,"Good",K577&gt;=50,"Poor",K577&lt;50,"Fail")</f>
        <v>Fail</v>
      </c>
    </row>
    <row r="578" spans="1:16" x14ac:dyDescent="0.25">
      <c r="A578" t="s">
        <v>587</v>
      </c>
      <c r="B578" t="s">
        <v>1586</v>
      </c>
      <c r="C578" t="s">
        <v>2192</v>
      </c>
      <c r="D578" t="s">
        <v>2503</v>
      </c>
      <c r="E578" t="s">
        <v>2007</v>
      </c>
      <c r="F578">
        <v>18</v>
      </c>
      <c r="G578" t="s">
        <v>2011</v>
      </c>
      <c r="H578" t="s">
        <v>2015</v>
      </c>
      <c r="I578" t="s">
        <v>2018</v>
      </c>
      <c r="J578" t="s">
        <v>2023</v>
      </c>
      <c r="K578">
        <v>86</v>
      </c>
      <c r="L578" t="s">
        <v>2032</v>
      </c>
      <c r="M578" t="s">
        <v>2035</v>
      </c>
      <c r="N578" t="str">
        <f t="shared" si="16"/>
        <v>Pass</v>
      </c>
      <c r="O578" t="str">
        <f t="shared" si="17"/>
        <v>Adult</v>
      </c>
      <c r="P578" t="str" cm="1">
        <f t="array" ref="P578">_xlfn.IFS(K578&gt;90,"Excellent",K578&gt;80,"Very Good",K578&gt;70,"Good",K578&gt;=50,"Poor",K578&lt;50,"Fail")</f>
        <v>Very Good</v>
      </c>
    </row>
    <row r="579" spans="1:16" x14ac:dyDescent="0.25">
      <c r="A579" t="s">
        <v>588</v>
      </c>
      <c r="B579" t="s">
        <v>1587</v>
      </c>
      <c r="C579" t="s">
        <v>2332</v>
      </c>
      <c r="D579" t="s">
        <v>2718</v>
      </c>
      <c r="E579" t="s">
        <v>2007</v>
      </c>
      <c r="F579">
        <v>17</v>
      </c>
      <c r="G579" t="s">
        <v>2012</v>
      </c>
      <c r="H579" t="s">
        <v>2016</v>
      </c>
      <c r="I579" t="s">
        <v>2019</v>
      </c>
      <c r="J579" t="s">
        <v>2024</v>
      </c>
      <c r="K579">
        <v>35</v>
      </c>
      <c r="L579" t="s">
        <v>2026</v>
      </c>
      <c r="M579" t="s">
        <v>2036</v>
      </c>
      <c r="N579" t="str">
        <f t="shared" ref="N579:N642" si="18">IF(K579&gt;=50,"Pass","Fail")</f>
        <v>Fail</v>
      </c>
      <c r="O579" t="str">
        <f t="shared" ref="O579:O642" si="19">IF(F579&gt;=18,"Adult","UnderAge")</f>
        <v>UnderAge</v>
      </c>
      <c r="P579" t="str" cm="1">
        <f t="array" ref="P579">_xlfn.IFS(K579&gt;90,"Excellent",K579&gt;80,"Very Good",K579&gt;70,"Good",K579&gt;=50,"Poor",K579&lt;50,"Fail")</f>
        <v>Fail</v>
      </c>
    </row>
    <row r="580" spans="1:16" x14ac:dyDescent="0.25">
      <c r="A580" t="s">
        <v>589</v>
      </c>
      <c r="B580" t="s">
        <v>1588</v>
      </c>
      <c r="C580" t="s">
        <v>2309</v>
      </c>
      <c r="D580" t="s">
        <v>2719</v>
      </c>
      <c r="E580" t="s">
        <v>2008</v>
      </c>
      <c r="F580">
        <v>17</v>
      </c>
      <c r="G580" t="s">
        <v>2009</v>
      </c>
      <c r="H580" t="s">
        <v>2016</v>
      </c>
      <c r="I580" t="s">
        <v>2020</v>
      </c>
      <c r="J580" t="s">
        <v>2023</v>
      </c>
      <c r="K580">
        <v>1</v>
      </c>
      <c r="L580" t="s">
        <v>2025</v>
      </c>
      <c r="M580" t="s">
        <v>2036</v>
      </c>
      <c r="N580" t="str">
        <f t="shared" si="18"/>
        <v>Fail</v>
      </c>
      <c r="O580" t="str">
        <f t="shared" si="19"/>
        <v>UnderAge</v>
      </c>
      <c r="P580" t="str" cm="1">
        <f t="array" ref="P580">_xlfn.IFS(K580&gt;90,"Excellent",K580&gt;80,"Very Good",K580&gt;70,"Good",K580&gt;=50,"Poor",K580&lt;50,"Fail")</f>
        <v>Fail</v>
      </c>
    </row>
    <row r="581" spans="1:16" x14ac:dyDescent="0.25">
      <c r="A581" t="s">
        <v>590</v>
      </c>
      <c r="B581" t="s">
        <v>1589</v>
      </c>
      <c r="C581" t="s">
        <v>2105</v>
      </c>
      <c r="D581" t="s">
        <v>2058</v>
      </c>
      <c r="E581" t="s">
        <v>2007</v>
      </c>
      <c r="F581">
        <v>17</v>
      </c>
      <c r="G581" t="s">
        <v>2009</v>
      </c>
      <c r="H581" t="s">
        <v>2016</v>
      </c>
      <c r="I581" t="s">
        <v>2020</v>
      </c>
      <c r="J581" t="s">
        <v>2023</v>
      </c>
      <c r="K581">
        <v>51</v>
      </c>
      <c r="L581" t="s">
        <v>2027</v>
      </c>
      <c r="M581" t="s">
        <v>2035</v>
      </c>
      <c r="N581" t="str">
        <f t="shared" si="18"/>
        <v>Pass</v>
      </c>
      <c r="O581" t="str">
        <f t="shared" si="19"/>
        <v>UnderAge</v>
      </c>
      <c r="P581" t="str" cm="1">
        <f t="array" ref="P581">_xlfn.IFS(K581&gt;90,"Excellent",K581&gt;80,"Very Good",K581&gt;70,"Good",K581&gt;=50,"Poor",K581&lt;50,"Fail")</f>
        <v>Poor</v>
      </c>
    </row>
    <row r="582" spans="1:16" x14ac:dyDescent="0.25">
      <c r="A582" t="s">
        <v>591</v>
      </c>
      <c r="B582" t="s">
        <v>1590</v>
      </c>
      <c r="C582" t="s">
        <v>2077</v>
      </c>
      <c r="D582" t="s">
        <v>2474</v>
      </c>
      <c r="E582" t="s">
        <v>2007</v>
      </c>
      <c r="F582">
        <v>17</v>
      </c>
      <c r="G582" t="s">
        <v>2009</v>
      </c>
      <c r="H582" t="s">
        <v>2015</v>
      </c>
      <c r="I582" t="s">
        <v>2021</v>
      </c>
      <c r="J582" t="s">
        <v>2023</v>
      </c>
      <c r="K582">
        <v>36</v>
      </c>
      <c r="L582" t="s">
        <v>2031</v>
      </c>
      <c r="M582" t="s">
        <v>2036</v>
      </c>
      <c r="N582" t="str">
        <f t="shared" si="18"/>
        <v>Fail</v>
      </c>
      <c r="O582" t="str">
        <f t="shared" si="19"/>
        <v>UnderAge</v>
      </c>
      <c r="P582" t="str" cm="1">
        <f t="array" ref="P582">_xlfn.IFS(K582&gt;90,"Excellent",K582&gt;80,"Very Good",K582&gt;70,"Good",K582&gt;=50,"Poor",K582&lt;50,"Fail")</f>
        <v>Fail</v>
      </c>
    </row>
    <row r="583" spans="1:16" x14ac:dyDescent="0.25">
      <c r="A583" t="s">
        <v>592</v>
      </c>
      <c r="B583" t="s">
        <v>1591</v>
      </c>
      <c r="C583" t="s">
        <v>2069</v>
      </c>
      <c r="D583" t="s">
        <v>2720</v>
      </c>
      <c r="E583" t="s">
        <v>2008</v>
      </c>
      <c r="F583">
        <v>17</v>
      </c>
      <c r="G583" t="s">
        <v>2009</v>
      </c>
      <c r="H583" t="s">
        <v>2016</v>
      </c>
      <c r="I583" t="s">
        <v>2022</v>
      </c>
      <c r="J583" t="s">
        <v>2023</v>
      </c>
      <c r="K583">
        <v>57</v>
      </c>
      <c r="L583" t="s">
        <v>2033</v>
      </c>
      <c r="M583" t="s">
        <v>2035</v>
      </c>
      <c r="N583" t="str">
        <f t="shared" si="18"/>
        <v>Pass</v>
      </c>
      <c r="O583" t="str">
        <f t="shared" si="19"/>
        <v>UnderAge</v>
      </c>
      <c r="P583" t="str" cm="1">
        <f t="array" ref="P583">_xlfn.IFS(K583&gt;90,"Excellent",K583&gt;80,"Very Good",K583&gt;70,"Good",K583&gt;=50,"Poor",K583&lt;50,"Fail")</f>
        <v>Poor</v>
      </c>
    </row>
    <row r="584" spans="1:16" x14ac:dyDescent="0.25">
      <c r="A584" t="s">
        <v>593</v>
      </c>
      <c r="B584" t="s">
        <v>1592</v>
      </c>
      <c r="C584" t="s">
        <v>2333</v>
      </c>
      <c r="D584" t="s">
        <v>2415</v>
      </c>
      <c r="E584" t="s">
        <v>2007</v>
      </c>
      <c r="F584">
        <v>18</v>
      </c>
      <c r="G584" t="s">
        <v>2013</v>
      </c>
      <c r="H584" t="s">
        <v>2017</v>
      </c>
      <c r="I584" t="s">
        <v>2019</v>
      </c>
      <c r="J584" t="s">
        <v>2023</v>
      </c>
      <c r="K584">
        <v>77</v>
      </c>
      <c r="L584" t="s">
        <v>2033</v>
      </c>
      <c r="M584" t="s">
        <v>2035</v>
      </c>
      <c r="N584" t="str">
        <f t="shared" si="18"/>
        <v>Pass</v>
      </c>
      <c r="O584" t="str">
        <f t="shared" si="19"/>
        <v>Adult</v>
      </c>
      <c r="P584" t="str" cm="1">
        <f t="array" ref="P584">_xlfn.IFS(K584&gt;90,"Excellent",K584&gt;80,"Very Good",K584&gt;70,"Good",K584&gt;=50,"Poor",K584&lt;50,"Fail")</f>
        <v>Good</v>
      </c>
    </row>
    <row r="585" spans="1:16" x14ac:dyDescent="0.25">
      <c r="A585" t="s">
        <v>594</v>
      </c>
      <c r="B585" t="s">
        <v>1593</v>
      </c>
      <c r="C585" t="s">
        <v>2073</v>
      </c>
      <c r="D585" t="s">
        <v>2464</v>
      </c>
      <c r="E585" t="s">
        <v>2007</v>
      </c>
      <c r="F585">
        <v>14</v>
      </c>
      <c r="G585" t="s">
        <v>2009</v>
      </c>
      <c r="H585" t="s">
        <v>2014</v>
      </c>
      <c r="I585" t="s">
        <v>2022</v>
      </c>
      <c r="J585" t="s">
        <v>2023</v>
      </c>
      <c r="K585">
        <v>100</v>
      </c>
      <c r="L585" t="s">
        <v>2027</v>
      </c>
      <c r="M585" t="s">
        <v>2035</v>
      </c>
      <c r="N585" t="str">
        <f t="shared" si="18"/>
        <v>Pass</v>
      </c>
      <c r="O585" t="str">
        <f t="shared" si="19"/>
        <v>UnderAge</v>
      </c>
      <c r="P585" t="str" cm="1">
        <f t="array" ref="P585">_xlfn.IFS(K585&gt;90,"Excellent",K585&gt;80,"Very Good",K585&gt;70,"Good",K585&gt;=50,"Poor",K585&lt;50,"Fail")</f>
        <v>Excellent</v>
      </c>
    </row>
    <row r="586" spans="1:16" x14ac:dyDescent="0.25">
      <c r="A586" t="s">
        <v>595</v>
      </c>
      <c r="B586" t="s">
        <v>1594</v>
      </c>
      <c r="C586" t="s">
        <v>2117</v>
      </c>
      <c r="D586" t="s">
        <v>2721</v>
      </c>
      <c r="E586" t="s">
        <v>2008</v>
      </c>
      <c r="F586">
        <v>14</v>
      </c>
      <c r="G586" t="s">
        <v>2012</v>
      </c>
      <c r="H586" t="s">
        <v>2016</v>
      </c>
      <c r="I586" t="s">
        <v>2020</v>
      </c>
      <c r="J586" t="s">
        <v>2024</v>
      </c>
      <c r="K586">
        <v>16</v>
      </c>
      <c r="L586" t="s">
        <v>2026</v>
      </c>
      <c r="M586" t="s">
        <v>2036</v>
      </c>
      <c r="N586" t="str">
        <f t="shared" si="18"/>
        <v>Fail</v>
      </c>
      <c r="O586" t="str">
        <f t="shared" si="19"/>
        <v>UnderAge</v>
      </c>
      <c r="P586" t="str" cm="1">
        <f t="array" ref="P586">_xlfn.IFS(K586&gt;90,"Excellent",K586&gt;80,"Very Good",K586&gt;70,"Good",K586&gt;=50,"Poor",K586&lt;50,"Fail")</f>
        <v>Fail</v>
      </c>
    </row>
    <row r="587" spans="1:16" x14ac:dyDescent="0.25">
      <c r="A587" t="s">
        <v>596</v>
      </c>
      <c r="B587" t="s">
        <v>1595</v>
      </c>
      <c r="C587" t="s">
        <v>2157</v>
      </c>
      <c r="D587" t="s">
        <v>2019</v>
      </c>
      <c r="E587" t="s">
        <v>2007</v>
      </c>
      <c r="F587">
        <v>15</v>
      </c>
      <c r="G587" t="s">
        <v>2009</v>
      </c>
      <c r="H587" t="s">
        <v>2015</v>
      </c>
      <c r="I587" t="s">
        <v>2022</v>
      </c>
      <c r="J587" t="s">
        <v>2023</v>
      </c>
      <c r="K587">
        <v>94</v>
      </c>
      <c r="L587" t="s">
        <v>2029</v>
      </c>
      <c r="M587" t="s">
        <v>2035</v>
      </c>
      <c r="N587" t="str">
        <f t="shared" si="18"/>
        <v>Pass</v>
      </c>
      <c r="O587" t="str">
        <f t="shared" si="19"/>
        <v>UnderAge</v>
      </c>
      <c r="P587" t="str" cm="1">
        <f t="array" ref="P587">_xlfn.IFS(K587&gt;90,"Excellent",K587&gt;80,"Very Good",K587&gt;70,"Good",K587&gt;=50,"Poor",K587&lt;50,"Fail")</f>
        <v>Excellent</v>
      </c>
    </row>
    <row r="588" spans="1:16" x14ac:dyDescent="0.25">
      <c r="A588" t="s">
        <v>597</v>
      </c>
      <c r="B588" t="s">
        <v>1596</v>
      </c>
      <c r="C588" t="s">
        <v>2311</v>
      </c>
      <c r="D588" t="s">
        <v>2625</v>
      </c>
      <c r="E588" t="s">
        <v>2007</v>
      </c>
      <c r="F588">
        <v>18</v>
      </c>
      <c r="G588" t="s">
        <v>2010</v>
      </c>
      <c r="H588" t="s">
        <v>2015</v>
      </c>
      <c r="I588" t="s">
        <v>2018</v>
      </c>
      <c r="J588" t="s">
        <v>2024</v>
      </c>
      <c r="K588">
        <v>60</v>
      </c>
      <c r="L588" t="s">
        <v>2028</v>
      </c>
      <c r="M588" t="s">
        <v>2035</v>
      </c>
      <c r="N588" t="str">
        <f t="shared" si="18"/>
        <v>Pass</v>
      </c>
      <c r="O588" t="str">
        <f t="shared" si="19"/>
        <v>Adult</v>
      </c>
      <c r="P588" t="str" cm="1">
        <f t="array" ref="P588">_xlfn.IFS(K588&gt;90,"Excellent",K588&gt;80,"Very Good",K588&gt;70,"Good",K588&gt;=50,"Poor",K588&lt;50,"Fail")</f>
        <v>Poor</v>
      </c>
    </row>
    <row r="589" spans="1:16" x14ac:dyDescent="0.25">
      <c r="A589" t="s">
        <v>598</v>
      </c>
      <c r="B589" t="s">
        <v>1597</v>
      </c>
      <c r="C589" t="s">
        <v>2281</v>
      </c>
      <c r="D589" t="s">
        <v>2722</v>
      </c>
      <c r="E589" t="s">
        <v>2007</v>
      </c>
      <c r="F589">
        <v>17</v>
      </c>
      <c r="G589" t="s">
        <v>2013</v>
      </c>
      <c r="H589" t="s">
        <v>2015</v>
      </c>
      <c r="I589" t="s">
        <v>2020</v>
      </c>
      <c r="J589" t="s">
        <v>2024</v>
      </c>
      <c r="K589">
        <v>85</v>
      </c>
      <c r="L589" t="s">
        <v>2025</v>
      </c>
      <c r="M589" t="s">
        <v>2035</v>
      </c>
      <c r="N589" t="str">
        <f t="shared" si="18"/>
        <v>Pass</v>
      </c>
      <c r="O589" t="str">
        <f t="shared" si="19"/>
        <v>UnderAge</v>
      </c>
      <c r="P589" t="str" cm="1">
        <f t="array" ref="P589">_xlfn.IFS(K589&gt;90,"Excellent",K589&gt;80,"Very Good",K589&gt;70,"Good",K589&gt;=50,"Poor",K589&lt;50,"Fail")</f>
        <v>Very Good</v>
      </c>
    </row>
    <row r="590" spans="1:16" x14ac:dyDescent="0.25">
      <c r="A590" t="s">
        <v>599</v>
      </c>
      <c r="B590" t="s">
        <v>1598</v>
      </c>
      <c r="C590" t="s">
        <v>2157</v>
      </c>
      <c r="D590" t="s">
        <v>2517</v>
      </c>
      <c r="E590" t="s">
        <v>2007</v>
      </c>
      <c r="F590">
        <v>18</v>
      </c>
      <c r="G590" t="s">
        <v>2013</v>
      </c>
      <c r="H590" t="s">
        <v>2015</v>
      </c>
      <c r="I590" t="s">
        <v>2018</v>
      </c>
      <c r="J590" t="s">
        <v>2023</v>
      </c>
      <c r="K590">
        <v>9</v>
      </c>
      <c r="L590" t="s">
        <v>2025</v>
      </c>
      <c r="M590" t="s">
        <v>2036</v>
      </c>
      <c r="N590" t="str">
        <f t="shared" si="18"/>
        <v>Fail</v>
      </c>
      <c r="O590" t="str">
        <f t="shared" si="19"/>
        <v>Adult</v>
      </c>
      <c r="P590" t="str" cm="1">
        <f t="array" ref="P590">_xlfn.IFS(K590&gt;90,"Excellent",K590&gt;80,"Very Good",K590&gt;70,"Good",K590&gt;=50,"Poor",K590&lt;50,"Fail")</f>
        <v>Fail</v>
      </c>
    </row>
    <row r="591" spans="1:16" x14ac:dyDescent="0.25">
      <c r="A591" t="s">
        <v>600</v>
      </c>
      <c r="B591" t="s">
        <v>1599</v>
      </c>
      <c r="C591" t="s">
        <v>2334</v>
      </c>
      <c r="D591" t="s">
        <v>2069</v>
      </c>
      <c r="E591" t="s">
        <v>2008</v>
      </c>
      <c r="F591">
        <v>17</v>
      </c>
      <c r="G591" t="s">
        <v>2009</v>
      </c>
      <c r="H591" t="s">
        <v>2014</v>
      </c>
      <c r="I591" t="s">
        <v>2021</v>
      </c>
      <c r="J591" t="s">
        <v>2024</v>
      </c>
      <c r="K591">
        <v>61</v>
      </c>
      <c r="L591" t="s">
        <v>2028</v>
      </c>
      <c r="M591" t="s">
        <v>2035</v>
      </c>
      <c r="N591" t="str">
        <f t="shared" si="18"/>
        <v>Pass</v>
      </c>
      <c r="O591" t="str">
        <f t="shared" si="19"/>
        <v>UnderAge</v>
      </c>
      <c r="P591" t="str" cm="1">
        <f t="array" ref="P591">_xlfn.IFS(K591&gt;90,"Excellent",K591&gt;80,"Very Good",K591&gt;70,"Good",K591&gt;=50,"Poor",K591&lt;50,"Fail")</f>
        <v>Poor</v>
      </c>
    </row>
    <row r="592" spans="1:16" x14ac:dyDescent="0.25">
      <c r="A592" t="s">
        <v>601</v>
      </c>
      <c r="B592" t="s">
        <v>1600</v>
      </c>
      <c r="C592" t="s">
        <v>2157</v>
      </c>
      <c r="D592" t="s">
        <v>2415</v>
      </c>
      <c r="E592" t="s">
        <v>2007</v>
      </c>
      <c r="F592">
        <v>14</v>
      </c>
      <c r="G592" t="s">
        <v>2009</v>
      </c>
      <c r="H592" t="s">
        <v>2016</v>
      </c>
      <c r="I592" t="s">
        <v>2021</v>
      </c>
      <c r="J592" t="s">
        <v>2024</v>
      </c>
      <c r="K592">
        <v>81</v>
      </c>
      <c r="L592" t="s">
        <v>2026</v>
      </c>
      <c r="M592" t="s">
        <v>2035</v>
      </c>
      <c r="N592" t="str">
        <f t="shared" si="18"/>
        <v>Pass</v>
      </c>
      <c r="O592" t="str">
        <f t="shared" si="19"/>
        <v>UnderAge</v>
      </c>
      <c r="P592" t="str" cm="1">
        <f t="array" ref="P592">_xlfn.IFS(K592&gt;90,"Excellent",K592&gt;80,"Very Good",K592&gt;70,"Good",K592&gt;=50,"Poor",K592&lt;50,"Fail")</f>
        <v>Very Good</v>
      </c>
    </row>
    <row r="593" spans="1:16" x14ac:dyDescent="0.25">
      <c r="A593" t="s">
        <v>602</v>
      </c>
      <c r="B593" t="s">
        <v>1601</v>
      </c>
      <c r="C593" t="s">
        <v>2335</v>
      </c>
      <c r="D593" t="s">
        <v>2723</v>
      </c>
      <c r="E593" t="s">
        <v>2008</v>
      </c>
      <c r="F593">
        <v>18</v>
      </c>
      <c r="G593" t="s">
        <v>2011</v>
      </c>
      <c r="H593" t="s">
        <v>2015</v>
      </c>
      <c r="I593" t="s">
        <v>2019</v>
      </c>
      <c r="J593" t="s">
        <v>2023</v>
      </c>
      <c r="K593">
        <v>42</v>
      </c>
      <c r="L593" t="s">
        <v>2027</v>
      </c>
      <c r="M593" t="s">
        <v>2036</v>
      </c>
      <c r="N593" t="str">
        <f t="shared" si="18"/>
        <v>Fail</v>
      </c>
      <c r="O593" t="str">
        <f t="shared" si="19"/>
        <v>Adult</v>
      </c>
      <c r="P593" t="str" cm="1">
        <f t="array" ref="P593">_xlfn.IFS(K593&gt;90,"Excellent",K593&gt;80,"Very Good",K593&gt;70,"Good",K593&gt;=50,"Poor",K593&lt;50,"Fail")</f>
        <v>Fail</v>
      </c>
    </row>
    <row r="594" spans="1:16" x14ac:dyDescent="0.25">
      <c r="A594" t="s">
        <v>603</v>
      </c>
      <c r="B594" t="s">
        <v>1602</v>
      </c>
      <c r="C594" t="s">
        <v>2094</v>
      </c>
      <c r="D594" t="s">
        <v>2724</v>
      </c>
      <c r="E594" t="s">
        <v>2008</v>
      </c>
      <c r="F594">
        <v>18</v>
      </c>
      <c r="G594" t="s">
        <v>2010</v>
      </c>
      <c r="H594" t="s">
        <v>2014</v>
      </c>
      <c r="I594" t="s">
        <v>2019</v>
      </c>
      <c r="J594" t="s">
        <v>2023</v>
      </c>
      <c r="K594">
        <v>44</v>
      </c>
      <c r="L594" t="s">
        <v>2034</v>
      </c>
      <c r="M594" t="s">
        <v>2036</v>
      </c>
      <c r="N594" t="str">
        <f t="shared" si="18"/>
        <v>Fail</v>
      </c>
      <c r="O594" t="str">
        <f t="shared" si="19"/>
        <v>Adult</v>
      </c>
      <c r="P594" t="str" cm="1">
        <f t="array" ref="P594">_xlfn.IFS(K594&gt;90,"Excellent",K594&gt;80,"Very Good",K594&gt;70,"Good",K594&gt;=50,"Poor",K594&lt;50,"Fail")</f>
        <v>Fail</v>
      </c>
    </row>
    <row r="595" spans="1:16" x14ac:dyDescent="0.25">
      <c r="A595" t="s">
        <v>604</v>
      </c>
      <c r="B595" t="s">
        <v>1603</v>
      </c>
      <c r="C595" t="s">
        <v>2259</v>
      </c>
      <c r="D595" t="s">
        <v>2677</v>
      </c>
      <c r="E595" t="s">
        <v>2008</v>
      </c>
      <c r="F595">
        <v>15</v>
      </c>
      <c r="G595" t="s">
        <v>2009</v>
      </c>
      <c r="H595" t="s">
        <v>2017</v>
      </c>
      <c r="I595" t="s">
        <v>2020</v>
      </c>
      <c r="J595" t="s">
        <v>2024</v>
      </c>
      <c r="K595">
        <v>82</v>
      </c>
      <c r="L595" t="s">
        <v>2032</v>
      </c>
      <c r="M595" t="s">
        <v>2035</v>
      </c>
      <c r="N595" t="str">
        <f t="shared" si="18"/>
        <v>Pass</v>
      </c>
      <c r="O595" t="str">
        <f t="shared" si="19"/>
        <v>UnderAge</v>
      </c>
      <c r="P595" t="str" cm="1">
        <f t="array" ref="P595">_xlfn.IFS(K595&gt;90,"Excellent",K595&gt;80,"Very Good",K595&gt;70,"Good",K595&gt;=50,"Poor",K595&lt;50,"Fail")</f>
        <v>Very Good</v>
      </c>
    </row>
    <row r="596" spans="1:16" x14ac:dyDescent="0.25">
      <c r="A596" t="s">
        <v>605</v>
      </c>
      <c r="B596" t="s">
        <v>1604</v>
      </c>
      <c r="C596" t="s">
        <v>2066</v>
      </c>
      <c r="D596" t="s">
        <v>2058</v>
      </c>
      <c r="E596" t="s">
        <v>2008</v>
      </c>
      <c r="F596">
        <v>15</v>
      </c>
      <c r="G596" t="s">
        <v>2010</v>
      </c>
      <c r="H596" t="s">
        <v>2014</v>
      </c>
      <c r="I596" t="s">
        <v>2021</v>
      </c>
      <c r="J596" t="s">
        <v>2023</v>
      </c>
      <c r="K596">
        <v>2</v>
      </c>
      <c r="L596" t="s">
        <v>2032</v>
      </c>
      <c r="M596" t="s">
        <v>2036</v>
      </c>
      <c r="N596" t="str">
        <f t="shared" si="18"/>
        <v>Fail</v>
      </c>
      <c r="O596" t="str">
        <f t="shared" si="19"/>
        <v>UnderAge</v>
      </c>
      <c r="P596" t="str" cm="1">
        <f t="array" ref="P596">_xlfn.IFS(K596&gt;90,"Excellent",K596&gt;80,"Very Good",K596&gt;70,"Good",K596&gt;=50,"Poor",K596&lt;50,"Fail")</f>
        <v>Fail</v>
      </c>
    </row>
    <row r="597" spans="1:16" x14ac:dyDescent="0.25">
      <c r="A597" t="s">
        <v>606</v>
      </c>
      <c r="B597" t="s">
        <v>1605</v>
      </c>
      <c r="C597" t="s">
        <v>2065</v>
      </c>
      <c r="D597" t="s">
        <v>2725</v>
      </c>
      <c r="E597" t="s">
        <v>2008</v>
      </c>
      <c r="F597">
        <v>18</v>
      </c>
      <c r="G597" t="s">
        <v>2010</v>
      </c>
      <c r="H597" t="s">
        <v>2017</v>
      </c>
      <c r="I597" t="s">
        <v>2020</v>
      </c>
      <c r="J597" t="s">
        <v>2023</v>
      </c>
      <c r="K597">
        <v>89</v>
      </c>
      <c r="L597" t="s">
        <v>2034</v>
      </c>
      <c r="M597" t="s">
        <v>2035</v>
      </c>
      <c r="N597" t="str">
        <f t="shared" si="18"/>
        <v>Pass</v>
      </c>
      <c r="O597" t="str">
        <f t="shared" si="19"/>
        <v>Adult</v>
      </c>
      <c r="P597" t="str" cm="1">
        <f t="array" ref="P597">_xlfn.IFS(K597&gt;90,"Excellent",K597&gt;80,"Very Good",K597&gt;70,"Good",K597&gt;=50,"Poor",K597&lt;50,"Fail")</f>
        <v>Very Good</v>
      </c>
    </row>
    <row r="598" spans="1:16" x14ac:dyDescent="0.25">
      <c r="A598" t="s">
        <v>607</v>
      </c>
      <c r="B598" t="s">
        <v>1606</v>
      </c>
      <c r="C598" t="s">
        <v>2105</v>
      </c>
      <c r="D598" t="s">
        <v>2427</v>
      </c>
      <c r="E598" t="s">
        <v>2007</v>
      </c>
      <c r="F598">
        <v>16</v>
      </c>
      <c r="G598" t="s">
        <v>2012</v>
      </c>
      <c r="H598" t="s">
        <v>2014</v>
      </c>
      <c r="I598" t="s">
        <v>2019</v>
      </c>
      <c r="J598" t="s">
        <v>2024</v>
      </c>
      <c r="K598">
        <v>57</v>
      </c>
      <c r="L598" t="s">
        <v>2033</v>
      </c>
      <c r="M598" t="s">
        <v>2035</v>
      </c>
      <c r="N598" t="str">
        <f t="shared" si="18"/>
        <v>Pass</v>
      </c>
      <c r="O598" t="str">
        <f t="shared" si="19"/>
        <v>UnderAge</v>
      </c>
      <c r="P598" t="str" cm="1">
        <f t="array" ref="P598">_xlfn.IFS(K598&gt;90,"Excellent",K598&gt;80,"Very Good",K598&gt;70,"Good",K598&gt;=50,"Poor",K598&lt;50,"Fail")</f>
        <v>Poor</v>
      </c>
    </row>
    <row r="599" spans="1:16" x14ac:dyDescent="0.25">
      <c r="A599" t="s">
        <v>608</v>
      </c>
      <c r="B599" t="s">
        <v>1607</v>
      </c>
      <c r="C599" t="s">
        <v>2224</v>
      </c>
      <c r="D599" t="s">
        <v>2069</v>
      </c>
      <c r="E599" t="s">
        <v>2008</v>
      </c>
      <c r="F599">
        <v>16</v>
      </c>
      <c r="G599" t="s">
        <v>2011</v>
      </c>
      <c r="H599" t="s">
        <v>2015</v>
      </c>
      <c r="I599" t="s">
        <v>2022</v>
      </c>
      <c r="J599" t="s">
        <v>2024</v>
      </c>
      <c r="K599">
        <v>11</v>
      </c>
      <c r="L599" t="s">
        <v>2032</v>
      </c>
      <c r="M599" t="s">
        <v>2036</v>
      </c>
      <c r="N599" t="str">
        <f t="shared" si="18"/>
        <v>Fail</v>
      </c>
      <c r="O599" t="str">
        <f t="shared" si="19"/>
        <v>UnderAge</v>
      </c>
      <c r="P599" t="str" cm="1">
        <f t="array" ref="P599">_xlfn.IFS(K599&gt;90,"Excellent",K599&gt;80,"Very Good",K599&gt;70,"Good",K599&gt;=50,"Poor",K599&lt;50,"Fail")</f>
        <v>Fail</v>
      </c>
    </row>
    <row r="600" spans="1:16" x14ac:dyDescent="0.25">
      <c r="A600" t="s">
        <v>609</v>
      </c>
      <c r="B600" t="s">
        <v>1608</v>
      </c>
      <c r="C600" t="s">
        <v>2190</v>
      </c>
      <c r="D600" t="s">
        <v>2635</v>
      </c>
      <c r="E600" t="s">
        <v>2008</v>
      </c>
      <c r="F600">
        <v>17</v>
      </c>
      <c r="G600" t="s">
        <v>2013</v>
      </c>
      <c r="H600" t="s">
        <v>2014</v>
      </c>
      <c r="I600" t="s">
        <v>2018</v>
      </c>
      <c r="J600" t="s">
        <v>2023</v>
      </c>
      <c r="K600">
        <v>42</v>
      </c>
      <c r="L600" t="s">
        <v>2034</v>
      </c>
      <c r="M600" t="s">
        <v>2036</v>
      </c>
      <c r="N600" t="str">
        <f t="shared" si="18"/>
        <v>Fail</v>
      </c>
      <c r="O600" t="str">
        <f t="shared" si="19"/>
        <v>UnderAge</v>
      </c>
      <c r="P600" t="str" cm="1">
        <f t="array" ref="P600">_xlfn.IFS(K600&gt;90,"Excellent",K600&gt;80,"Very Good",K600&gt;70,"Good",K600&gt;=50,"Poor",K600&lt;50,"Fail")</f>
        <v>Fail</v>
      </c>
    </row>
    <row r="601" spans="1:16" x14ac:dyDescent="0.25">
      <c r="A601" t="s">
        <v>610</v>
      </c>
      <c r="B601" t="s">
        <v>1609</v>
      </c>
      <c r="C601" t="s">
        <v>2336</v>
      </c>
      <c r="D601" t="s">
        <v>2726</v>
      </c>
      <c r="E601" t="s">
        <v>2007</v>
      </c>
      <c r="F601">
        <v>15</v>
      </c>
      <c r="G601" t="s">
        <v>2012</v>
      </c>
      <c r="H601" t="s">
        <v>2014</v>
      </c>
      <c r="I601" t="s">
        <v>2020</v>
      </c>
      <c r="J601" t="s">
        <v>2024</v>
      </c>
      <c r="K601">
        <v>20</v>
      </c>
      <c r="L601" t="s">
        <v>2033</v>
      </c>
      <c r="M601" t="s">
        <v>2036</v>
      </c>
      <c r="N601" t="str">
        <f t="shared" si="18"/>
        <v>Fail</v>
      </c>
      <c r="O601" t="str">
        <f t="shared" si="19"/>
        <v>UnderAge</v>
      </c>
      <c r="P601" t="str" cm="1">
        <f t="array" ref="P601">_xlfn.IFS(K601&gt;90,"Excellent",K601&gt;80,"Very Good",K601&gt;70,"Good",K601&gt;=50,"Poor",K601&lt;50,"Fail")</f>
        <v>Fail</v>
      </c>
    </row>
    <row r="602" spans="1:16" x14ac:dyDescent="0.25">
      <c r="A602" t="s">
        <v>611</v>
      </c>
      <c r="B602" t="s">
        <v>1610</v>
      </c>
      <c r="C602" t="s">
        <v>2119</v>
      </c>
      <c r="D602" t="s">
        <v>2624</v>
      </c>
      <c r="E602" t="s">
        <v>2008</v>
      </c>
      <c r="F602">
        <v>14</v>
      </c>
      <c r="G602" t="s">
        <v>2010</v>
      </c>
      <c r="H602" t="s">
        <v>2015</v>
      </c>
      <c r="I602" t="s">
        <v>2018</v>
      </c>
      <c r="J602" t="s">
        <v>2023</v>
      </c>
      <c r="K602">
        <v>26</v>
      </c>
      <c r="L602" t="s">
        <v>2025</v>
      </c>
      <c r="M602" t="s">
        <v>2036</v>
      </c>
      <c r="N602" t="str">
        <f t="shared" si="18"/>
        <v>Fail</v>
      </c>
      <c r="O602" t="str">
        <f t="shared" si="19"/>
        <v>UnderAge</v>
      </c>
      <c r="P602" t="str" cm="1">
        <f t="array" ref="P602">_xlfn.IFS(K602&gt;90,"Excellent",K602&gt;80,"Very Good",K602&gt;70,"Good",K602&gt;=50,"Poor",K602&lt;50,"Fail")</f>
        <v>Fail</v>
      </c>
    </row>
    <row r="603" spans="1:16" x14ac:dyDescent="0.25">
      <c r="A603" t="s">
        <v>612</v>
      </c>
      <c r="B603" t="s">
        <v>1611</v>
      </c>
      <c r="C603" t="s">
        <v>2337</v>
      </c>
      <c r="D603" t="s">
        <v>2727</v>
      </c>
      <c r="E603" t="s">
        <v>2008</v>
      </c>
      <c r="F603">
        <v>15</v>
      </c>
      <c r="G603" t="s">
        <v>2011</v>
      </c>
      <c r="H603" t="s">
        <v>2015</v>
      </c>
      <c r="I603" t="s">
        <v>2019</v>
      </c>
      <c r="J603" t="s">
        <v>2023</v>
      </c>
      <c r="K603">
        <v>38</v>
      </c>
      <c r="L603" t="s">
        <v>2033</v>
      </c>
      <c r="M603" t="s">
        <v>2036</v>
      </c>
      <c r="N603" t="str">
        <f t="shared" si="18"/>
        <v>Fail</v>
      </c>
      <c r="O603" t="str">
        <f t="shared" si="19"/>
        <v>UnderAge</v>
      </c>
      <c r="P603" t="str" cm="1">
        <f t="array" ref="P603">_xlfn.IFS(K603&gt;90,"Excellent",K603&gt;80,"Very Good",K603&gt;70,"Good",K603&gt;=50,"Poor",K603&lt;50,"Fail")</f>
        <v>Fail</v>
      </c>
    </row>
    <row r="604" spans="1:16" x14ac:dyDescent="0.25">
      <c r="A604" t="s">
        <v>613</v>
      </c>
      <c r="B604" t="s">
        <v>1612</v>
      </c>
      <c r="C604" t="s">
        <v>2148</v>
      </c>
      <c r="D604" t="s">
        <v>2728</v>
      </c>
      <c r="E604" t="s">
        <v>2007</v>
      </c>
      <c r="F604">
        <v>17</v>
      </c>
      <c r="G604" t="s">
        <v>2012</v>
      </c>
      <c r="H604" t="s">
        <v>2014</v>
      </c>
      <c r="I604" t="s">
        <v>2022</v>
      </c>
      <c r="J604" t="s">
        <v>2024</v>
      </c>
      <c r="K604">
        <v>82</v>
      </c>
      <c r="L604" t="s">
        <v>2033</v>
      </c>
      <c r="M604" t="s">
        <v>2035</v>
      </c>
      <c r="N604" t="str">
        <f t="shared" si="18"/>
        <v>Pass</v>
      </c>
      <c r="O604" t="str">
        <f t="shared" si="19"/>
        <v>UnderAge</v>
      </c>
      <c r="P604" t="str" cm="1">
        <f t="array" ref="P604">_xlfn.IFS(K604&gt;90,"Excellent",K604&gt;80,"Very Good",K604&gt;70,"Good",K604&gt;=50,"Poor",K604&lt;50,"Fail")</f>
        <v>Very Good</v>
      </c>
    </row>
    <row r="605" spans="1:16" x14ac:dyDescent="0.25">
      <c r="A605" t="s">
        <v>614</v>
      </c>
      <c r="B605" t="s">
        <v>1613</v>
      </c>
      <c r="C605" t="s">
        <v>2095</v>
      </c>
      <c r="D605" t="s">
        <v>2729</v>
      </c>
      <c r="E605" t="s">
        <v>2007</v>
      </c>
      <c r="F605">
        <v>18</v>
      </c>
      <c r="G605" t="s">
        <v>2010</v>
      </c>
      <c r="H605" t="s">
        <v>2015</v>
      </c>
      <c r="I605" t="s">
        <v>2021</v>
      </c>
      <c r="J605" t="s">
        <v>2023</v>
      </c>
      <c r="K605">
        <v>82</v>
      </c>
      <c r="L605" t="s">
        <v>2025</v>
      </c>
      <c r="M605" t="s">
        <v>2035</v>
      </c>
      <c r="N605" t="str">
        <f t="shared" si="18"/>
        <v>Pass</v>
      </c>
      <c r="O605" t="str">
        <f t="shared" si="19"/>
        <v>Adult</v>
      </c>
      <c r="P605" t="str" cm="1">
        <f t="array" ref="P605">_xlfn.IFS(K605&gt;90,"Excellent",K605&gt;80,"Very Good",K605&gt;70,"Good",K605&gt;=50,"Poor",K605&lt;50,"Fail")</f>
        <v>Very Good</v>
      </c>
    </row>
    <row r="606" spans="1:16" x14ac:dyDescent="0.25">
      <c r="A606" t="s">
        <v>615</v>
      </c>
      <c r="B606" t="s">
        <v>1614</v>
      </c>
      <c r="C606" t="s">
        <v>2116</v>
      </c>
      <c r="D606" t="s">
        <v>2730</v>
      </c>
      <c r="E606" t="s">
        <v>2007</v>
      </c>
      <c r="F606">
        <v>14</v>
      </c>
      <c r="G606" t="s">
        <v>2011</v>
      </c>
      <c r="H606" t="s">
        <v>2016</v>
      </c>
      <c r="I606" t="s">
        <v>2019</v>
      </c>
      <c r="J606" t="s">
        <v>2024</v>
      </c>
      <c r="K606">
        <v>10</v>
      </c>
      <c r="L606" t="s">
        <v>2027</v>
      </c>
      <c r="M606" t="s">
        <v>2036</v>
      </c>
      <c r="N606" t="str">
        <f t="shared" si="18"/>
        <v>Fail</v>
      </c>
      <c r="O606" t="str">
        <f t="shared" si="19"/>
        <v>UnderAge</v>
      </c>
      <c r="P606" t="str" cm="1">
        <f t="array" ref="P606">_xlfn.IFS(K606&gt;90,"Excellent",K606&gt;80,"Very Good",K606&gt;70,"Good",K606&gt;=50,"Poor",K606&lt;50,"Fail")</f>
        <v>Fail</v>
      </c>
    </row>
    <row r="607" spans="1:16" x14ac:dyDescent="0.25">
      <c r="A607" t="s">
        <v>616</v>
      </c>
      <c r="B607" t="s">
        <v>1615</v>
      </c>
      <c r="C607" t="s">
        <v>2338</v>
      </c>
      <c r="D607" t="s">
        <v>2731</v>
      </c>
      <c r="E607" t="s">
        <v>2008</v>
      </c>
      <c r="F607">
        <v>16</v>
      </c>
      <c r="G607" t="s">
        <v>2011</v>
      </c>
      <c r="H607" t="s">
        <v>2016</v>
      </c>
      <c r="I607" t="s">
        <v>2022</v>
      </c>
      <c r="J607" t="s">
        <v>2024</v>
      </c>
      <c r="K607">
        <v>91</v>
      </c>
      <c r="L607" t="s">
        <v>2032</v>
      </c>
      <c r="M607" t="s">
        <v>2035</v>
      </c>
      <c r="N607" t="str">
        <f t="shared" si="18"/>
        <v>Pass</v>
      </c>
      <c r="O607" t="str">
        <f t="shared" si="19"/>
        <v>UnderAge</v>
      </c>
      <c r="P607" t="str" cm="1">
        <f t="array" ref="P607">_xlfn.IFS(K607&gt;90,"Excellent",K607&gt;80,"Very Good",K607&gt;70,"Good",K607&gt;=50,"Poor",K607&lt;50,"Fail")</f>
        <v>Excellent</v>
      </c>
    </row>
    <row r="608" spans="1:16" x14ac:dyDescent="0.25">
      <c r="A608" t="s">
        <v>617</v>
      </c>
      <c r="B608" t="s">
        <v>1616</v>
      </c>
      <c r="C608" t="s">
        <v>2298</v>
      </c>
      <c r="D608" t="s">
        <v>2504</v>
      </c>
      <c r="E608" t="s">
        <v>2008</v>
      </c>
      <c r="F608">
        <v>14</v>
      </c>
      <c r="G608" t="s">
        <v>2013</v>
      </c>
      <c r="H608" t="s">
        <v>2014</v>
      </c>
      <c r="I608" t="s">
        <v>2020</v>
      </c>
      <c r="J608" t="s">
        <v>2023</v>
      </c>
      <c r="K608">
        <v>72</v>
      </c>
      <c r="L608" t="s">
        <v>2027</v>
      </c>
      <c r="M608" t="s">
        <v>2035</v>
      </c>
      <c r="N608" t="str">
        <f t="shared" si="18"/>
        <v>Pass</v>
      </c>
      <c r="O608" t="str">
        <f t="shared" si="19"/>
        <v>UnderAge</v>
      </c>
      <c r="P608" t="str" cm="1">
        <f t="array" ref="P608">_xlfn.IFS(K608&gt;90,"Excellent",K608&gt;80,"Very Good",K608&gt;70,"Good",K608&gt;=50,"Poor",K608&lt;50,"Fail")</f>
        <v>Good</v>
      </c>
    </row>
    <row r="609" spans="1:16" x14ac:dyDescent="0.25">
      <c r="A609" t="s">
        <v>618</v>
      </c>
      <c r="B609" t="s">
        <v>1617</v>
      </c>
      <c r="C609" t="s">
        <v>2095</v>
      </c>
      <c r="D609" t="s">
        <v>2601</v>
      </c>
      <c r="E609" t="s">
        <v>2008</v>
      </c>
      <c r="F609">
        <v>14</v>
      </c>
      <c r="G609" t="s">
        <v>2010</v>
      </c>
      <c r="H609" t="s">
        <v>2017</v>
      </c>
      <c r="I609" t="s">
        <v>2021</v>
      </c>
      <c r="J609" t="s">
        <v>2023</v>
      </c>
      <c r="K609">
        <v>74</v>
      </c>
      <c r="L609" t="s">
        <v>2031</v>
      </c>
      <c r="M609" t="s">
        <v>2035</v>
      </c>
      <c r="N609" t="str">
        <f t="shared" si="18"/>
        <v>Pass</v>
      </c>
      <c r="O609" t="str">
        <f t="shared" si="19"/>
        <v>UnderAge</v>
      </c>
      <c r="P609" t="str" cm="1">
        <f t="array" ref="P609">_xlfn.IFS(K609&gt;90,"Excellent",K609&gt;80,"Very Good",K609&gt;70,"Good",K609&gt;=50,"Poor",K609&lt;50,"Fail")</f>
        <v>Good</v>
      </c>
    </row>
    <row r="610" spans="1:16" x14ac:dyDescent="0.25">
      <c r="A610" t="s">
        <v>619</v>
      </c>
      <c r="B610" t="s">
        <v>1618</v>
      </c>
      <c r="C610" t="s">
        <v>2110</v>
      </c>
      <c r="D610" t="s">
        <v>2435</v>
      </c>
      <c r="E610" t="s">
        <v>2008</v>
      </c>
      <c r="F610">
        <v>17</v>
      </c>
      <c r="G610" t="s">
        <v>2013</v>
      </c>
      <c r="H610" t="s">
        <v>2014</v>
      </c>
      <c r="I610" t="s">
        <v>2020</v>
      </c>
      <c r="J610" t="s">
        <v>2023</v>
      </c>
      <c r="K610">
        <v>54</v>
      </c>
      <c r="L610" t="s">
        <v>2025</v>
      </c>
      <c r="M610" t="s">
        <v>2035</v>
      </c>
      <c r="N610" t="str">
        <f t="shared" si="18"/>
        <v>Pass</v>
      </c>
      <c r="O610" t="str">
        <f t="shared" si="19"/>
        <v>UnderAge</v>
      </c>
      <c r="P610" t="str" cm="1">
        <f t="array" ref="P610">_xlfn.IFS(K610&gt;90,"Excellent",K610&gt;80,"Very Good",K610&gt;70,"Good",K610&gt;=50,"Poor",K610&lt;50,"Fail")</f>
        <v>Poor</v>
      </c>
    </row>
    <row r="611" spans="1:16" x14ac:dyDescent="0.25">
      <c r="A611" t="s">
        <v>620</v>
      </c>
      <c r="B611" t="s">
        <v>1619</v>
      </c>
      <c r="C611" t="s">
        <v>2095</v>
      </c>
      <c r="D611" t="s">
        <v>2523</v>
      </c>
      <c r="E611" t="s">
        <v>2008</v>
      </c>
      <c r="F611">
        <v>18</v>
      </c>
      <c r="G611" t="s">
        <v>2012</v>
      </c>
      <c r="H611" t="s">
        <v>2014</v>
      </c>
      <c r="I611" t="s">
        <v>2022</v>
      </c>
      <c r="J611" t="s">
        <v>2023</v>
      </c>
      <c r="K611">
        <v>45</v>
      </c>
      <c r="L611" t="s">
        <v>2025</v>
      </c>
      <c r="M611" t="s">
        <v>2036</v>
      </c>
      <c r="N611" t="str">
        <f t="shared" si="18"/>
        <v>Fail</v>
      </c>
      <c r="O611" t="str">
        <f t="shared" si="19"/>
        <v>Adult</v>
      </c>
      <c r="P611" t="str" cm="1">
        <f t="array" ref="P611">_xlfn.IFS(K611&gt;90,"Excellent",K611&gt;80,"Very Good",K611&gt;70,"Good",K611&gt;=50,"Poor",K611&lt;50,"Fail")</f>
        <v>Fail</v>
      </c>
    </row>
    <row r="612" spans="1:16" x14ac:dyDescent="0.25">
      <c r="A612" t="s">
        <v>621</v>
      </c>
      <c r="B612" t="s">
        <v>1620</v>
      </c>
      <c r="C612" t="s">
        <v>2069</v>
      </c>
      <c r="D612" t="s">
        <v>2446</v>
      </c>
      <c r="E612" t="s">
        <v>2008</v>
      </c>
      <c r="F612">
        <v>17</v>
      </c>
      <c r="G612" t="s">
        <v>2010</v>
      </c>
      <c r="H612" t="s">
        <v>2016</v>
      </c>
      <c r="I612" t="s">
        <v>2022</v>
      </c>
      <c r="J612" t="s">
        <v>2023</v>
      </c>
      <c r="K612">
        <v>89</v>
      </c>
      <c r="L612" t="s">
        <v>2030</v>
      </c>
      <c r="M612" t="s">
        <v>2035</v>
      </c>
      <c r="N612" t="str">
        <f t="shared" si="18"/>
        <v>Pass</v>
      </c>
      <c r="O612" t="str">
        <f t="shared" si="19"/>
        <v>UnderAge</v>
      </c>
      <c r="P612" t="str" cm="1">
        <f t="array" ref="P612">_xlfn.IFS(K612&gt;90,"Excellent",K612&gt;80,"Very Good",K612&gt;70,"Good",K612&gt;=50,"Poor",K612&lt;50,"Fail")</f>
        <v>Very Good</v>
      </c>
    </row>
    <row r="613" spans="1:16" x14ac:dyDescent="0.25">
      <c r="A613" t="s">
        <v>622</v>
      </c>
      <c r="B613" t="s">
        <v>1621</v>
      </c>
      <c r="C613" t="s">
        <v>2067</v>
      </c>
      <c r="D613" t="s">
        <v>2554</v>
      </c>
      <c r="E613" t="s">
        <v>2008</v>
      </c>
      <c r="F613">
        <v>16</v>
      </c>
      <c r="G613" t="s">
        <v>2009</v>
      </c>
      <c r="H613" t="s">
        <v>2015</v>
      </c>
      <c r="I613" t="s">
        <v>2019</v>
      </c>
      <c r="J613" t="s">
        <v>2023</v>
      </c>
      <c r="K613">
        <v>28</v>
      </c>
      <c r="L613" t="s">
        <v>2027</v>
      </c>
      <c r="M613" t="s">
        <v>2036</v>
      </c>
      <c r="N613" t="str">
        <f t="shared" si="18"/>
        <v>Fail</v>
      </c>
      <c r="O613" t="str">
        <f t="shared" si="19"/>
        <v>UnderAge</v>
      </c>
      <c r="P613" t="str" cm="1">
        <f t="array" ref="P613">_xlfn.IFS(K613&gt;90,"Excellent",K613&gt;80,"Very Good",K613&gt;70,"Good",K613&gt;=50,"Poor",K613&lt;50,"Fail")</f>
        <v>Fail</v>
      </c>
    </row>
    <row r="614" spans="1:16" x14ac:dyDescent="0.25">
      <c r="A614" t="s">
        <v>623</v>
      </c>
      <c r="B614" t="s">
        <v>1622</v>
      </c>
      <c r="C614" t="s">
        <v>2339</v>
      </c>
      <c r="D614" t="s">
        <v>2440</v>
      </c>
      <c r="E614" t="s">
        <v>2008</v>
      </c>
      <c r="F614">
        <v>15</v>
      </c>
      <c r="G614" t="s">
        <v>2009</v>
      </c>
      <c r="H614" t="s">
        <v>2015</v>
      </c>
      <c r="I614" t="s">
        <v>2019</v>
      </c>
      <c r="J614" t="s">
        <v>2024</v>
      </c>
      <c r="K614">
        <v>12</v>
      </c>
      <c r="L614" t="s">
        <v>2033</v>
      </c>
      <c r="M614" t="s">
        <v>2036</v>
      </c>
      <c r="N614" t="str">
        <f t="shared" si="18"/>
        <v>Fail</v>
      </c>
      <c r="O614" t="str">
        <f t="shared" si="19"/>
        <v>UnderAge</v>
      </c>
      <c r="P614" t="str" cm="1">
        <f t="array" ref="P614">_xlfn.IFS(K614&gt;90,"Excellent",K614&gt;80,"Very Good",K614&gt;70,"Good",K614&gt;=50,"Poor",K614&lt;50,"Fail")</f>
        <v>Fail</v>
      </c>
    </row>
    <row r="615" spans="1:16" x14ac:dyDescent="0.25">
      <c r="A615" t="s">
        <v>624</v>
      </c>
      <c r="B615" t="s">
        <v>1623</v>
      </c>
      <c r="C615" t="s">
        <v>2340</v>
      </c>
      <c r="D615" t="s">
        <v>2732</v>
      </c>
      <c r="E615" t="s">
        <v>2007</v>
      </c>
      <c r="F615">
        <v>15</v>
      </c>
      <c r="G615" t="s">
        <v>2012</v>
      </c>
      <c r="H615" t="s">
        <v>2014</v>
      </c>
      <c r="I615" t="s">
        <v>2022</v>
      </c>
      <c r="J615" t="s">
        <v>2023</v>
      </c>
      <c r="K615">
        <v>34</v>
      </c>
      <c r="L615" t="s">
        <v>2030</v>
      </c>
      <c r="M615" t="s">
        <v>2036</v>
      </c>
      <c r="N615" t="str">
        <f t="shared" si="18"/>
        <v>Fail</v>
      </c>
      <c r="O615" t="str">
        <f t="shared" si="19"/>
        <v>UnderAge</v>
      </c>
      <c r="P615" t="str" cm="1">
        <f t="array" ref="P615">_xlfn.IFS(K615&gt;90,"Excellent",K615&gt;80,"Very Good",K615&gt;70,"Good",K615&gt;=50,"Poor",K615&lt;50,"Fail")</f>
        <v>Fail</v>
      </c>
    </row>
    <row r="616" spans="1:16" x14ac:dyDescent="0.25">
      <c r="A616" t="s">
        <v>625</v>
      </c>
      <c r="B616" t="s">
        <v>1624</v>
      </c>
      <c r="C616" t="s">
        <v>2306</v>
      </c>
      <c r="D616" t="s">
        <v>2733</v>
      </c>
      <c r="E616" t="s">
        <v>2007</v>
      </c>
      <c r="F616">
        <v>17</v>
      </c>
      <c r="G616" t="s">
        <v>2009</v>
      </c>
      <c r="H616" t="s">
        <v>2016</v>
      </c>
      <c r="I616" t="s">
        <v>2019</v>
      </c>
      <c r="J616" t="s">
        <v>2024</v>
      </c>
      <c r="K616">
        <v>78</v>
      </c>
      <c r="L616" t="s">
        <v>2030</v>
      </c>
      <c r="M616" t="s">
        <v>2035</v>
      </c>
      <c r="N616" t="str">
        <f t="shared" si="18"/>
        <v>Pass</v>
      </c>
      <c r="O616" t="str">
        <f t="shared" si="19"/>
        <v>UnderAge</v>
      </c>
      <c r="P616" t="str" cm="1">
        <f t="array" ref="P616">_xlfn.IFS(K616&gt;90,"Excellent",K616&gt;80,"Very Good",K616&gt;70,"Good",K616&gt;=50,"Poor",K616&lt;50,"Fail")</f>
        <v>Good</v>
      </c>
    </row>
    <row r="617" spans="1:16" x14ac:dyDescent="0.25">
      <c r="A617" t="s">
        <v>626</v>
      </c>
      <c r="B617" t="s">
        <v>1625</v>
      </c>
      <c r="C617" t="s">
        <v>2151</v>
      </c>
      <c r="D617" t="s">
        <v>2593</v>
      </c>
      <c r="E617" t="s">
        <v>2007</v>
      </c>
      <c r="F617">
        <v>15</v>
      </c>
      <c r="G617" t="s">
        <v>2009</v>
      </c>
      <c r="H617" t="s">
        <v>2017</v>
      </c>
      <c r="I617" t="s">
        <v>2020</v>
      </c>
      <c r="J617" t="s">
        <v>2023</v>
      </c>
      <c r="K617">
        <v>2</v>
      </c>
      <c r="L617" t="s">
        <v>2028</v>
      </c>
      <c r="M617" t="s">
        <v>2036</v>
      </c>
      <c r="N617" t="str">
        <f t="shared" si="18"/>
        <v>Fail</v>
      </c>
      <c r="O617" t="str">
        <f t="shared" si="19"/>
        <v>UnderAge</v>
      </c>
      <c r="P617" t="str" cm="1">
        <f t="array" ref="P617">_xlfn.IFS(K617&gt;90,"Excellent",K617&gt;80,"Very Good",K617&gt;70,"Good",K617&gt;=50,"Poor",K617&lt;50,"Fail")</f>
        <v>Fail</v>
      </c>
    </row>
    <row r="618" spans="1:16" x14ac:dyDescent="0.25">
      <c r="A618" t="s">
        <v>627</v>
      </c>
      <c r="B618" t="s">
        <v>1626</v>
      </c>
      <c r="C618" t="s">
        <v>2216</v>
      </c>
      <c r="D618" t="s">
        <v>2439</v>
      </c>
      <c r="E618" t="s">
        <v>2007</v>
      </c>
      <c r="F618">
        <v>18</v>
      </c>
      <c r="G618" t="s">
        <v>2012</v>
      </c>
      <c r="H618" t="s">
        <v>2015</v>
      </c>
      <c r="I618" t="s">
        <v>2022</v>
      </c>
      <c r="J618" t="s">
        <v>2024</v>
      </c>
      <c r="K618">
        <v>57</v>
      </c>
      <c r="L618" t="s">
        <v>2031</v>
      </c>
      <c r="M618" t="s">
        <v>2035</v>
      </c>
      <c r="N618" t="str">
        <f t="shared" si="18"/>
        <v>Pass</v>
      </c>
      <c r="O618" t="str">
        <f t="shared" si="19"/>
        <v>Adult</v>
      </c>
      <c r="P618" t="str" cm="1">
        <f t="array" ref="P618">_xlfn.IFS(K618&gt;90,"Excellent",K618&gt;80,"Very Good",K618&gt;70,"Good",K618&gt;=50,"Poor",K618&lt;50,"Fail")</f>
        <v>Poor</v>
      </c>
    </row>
    <row r="619" spans="1:16" x14ac:dyDescent="0.25">
      <c r="A619" t="s">
        <v>628</v>
      </c>
      <c r="B619" t="s">
        <v>1627</v>
      </c>
      <c r="C619" t="s">
        <v>2341</v>
      </c>
      <c r="D619" t="s">
        <v>2734</v>
      </c>
      <c r="E619" t="s">
        <v>2008</v>
      </c>
      <c r="F619">
        <v>15</v>
      </c>
      <c r="G619" t="s">
        <v>2009</v>
      </c>
      <c r="H619" t="s">
        <v>2014</v>
      </c>
      <c r="I619" t="s">
        <v>2021</v>
      </c>
      <c r="J619" t="s">
        <v>2023</v>
      </c>
      <c r="K619">
        <v>65</v>
      </c>
      <c r="L619" t="s">
        <v>2026</v>
      </c>
      <c r="M619" t="s">
        <v>2035</v>
      </c>
      <c r="N619" t="str">
        <f t="shared" si="18"/>
        <v>Pass</v>
      </c>
      <c r="O619" t="str">
        <f t="shared" si="19"/>
        <v>UnderAge</v>
      </c>
      <c r="P619" t="str" cm="1">
        <f t="array" ref="P619">_xlfn.IFS(K619&gt;90,"Excellent",K619&gt;80,"Very Good",K619&gt;70,"Good",K619&gt;=50,"Poor",K619&lt;50,"Fail")</f>
        <v>Poor</v>
      </c>
    </row>
    <row r="620" spans="1:16" x14ac:dyDescent="0.25">
      <c r="A620" t="s">
        <v>629</v>
      </c>
      <c r="B620" t="s">
        <v>1628</v>
      </c>
      <c r="C620" t="s">
        <v>2202</v>
      </c>
      <c r="D620" t="s">
        <v>2735</v>
      </c>
      <c r="E620" t="s">
        <v>2007</v>
      </c>
      <c r="F620">
        <v>14</v>
      </c>
      <c r="G620" t="s">
        <v>2012</v>
      </c>
      <c r="H620" t="s">
        <v>2016</v>
      </c>
      <c r="I620" t="s">
        <v>2019</v>
      </c>
      <c r="J620" t="s">
        <v>2023</v>
      </c>
      <c r="K620">
        <v>81</v>
      </c>
      <c r="L620" t="s">
        <v>2027</v>
      </c>
      <c r="M620" t="s">
        <v>2035</v>
      </c>
      <c r="N620" t="str">
        <f t="shared" si="18"/>
        <v>Pass</v>
      </c>
      <c r="O620" t="str">
        <f t="shared" si="19"/>
        <v>UnderAge</v>
      </c>
      <c r="P620" t="str" cm="1">
        <f t="array" ref="P620">_xlfn.IFS(K620&gt;90,"Excellent",K620&gt;80,"Very Good",K620&gt;70,"Good",K620&gt;=50,"Poor",K620&lt;50,"Fail")</f>
        <v>Very Good</v>
      </c>
    </row>
    <row r="621" spans="1:16" x14ac:dyDescent="0.25">
      <c r="A621" t="s">
        <v>630</v>
      </c>
      <c r="B621" t="s">
        <v>1629</v>
      </c>
      <c r="C621" t="s">
        <v>2342</v>
      </c>
      <c r="D621" t="s">
        <v>2732</v>
      </c>
      <c r="E621" t="s">
        <v>2007</v>
      </c>
      <c r="F621">
        <v>17</v>
      </c>
      <c r="G621" t="s">
        <v>2012</v>
      </c>
      <c r="H621" t="s">
        <v>2014</v>
      </c>
      <c r="I621" t="s">
        <v>2022</v>
      </c>
      <c r="J621" t="s">
        <v>2024</v>
      </c>
      <c r="K621">
        <v>51</v>
      </c>
      <c r="L621" t="s">
        <v>2029</v>
      </c>
      <c r="M621" t="s">
        <v>2035</v>
      </c>
      <c r="N621" t="str">
        <f t="shared" si="18"/>
        <v>Pass</v>
      </c>
      <c r="O621" t="str">
        <f t="shared" si="19"/>
        <v>UnderAge</v>
      </c>
      <c r="P621" t="str" cm="1">
        <f t="array" ref="P621">_xlfn.IFS(K621&gt;90,"Excellent",K621&gt;80,"Very Good",K621&gt;70,"Good",K621&gt;=50,"Poor",K621&lt;50,"Fail")</f>
        <v>Poor</v>
      </c>
    </row>
    <row r="622" spans="1:16" x14ac:dyDescent="0.25">
      <c r="A622" t="s">
        <v>631</v>
      </c>
      <c r="B622" t="s">
        <v>1630</v>
      </c>
      <c r="C622" t="s">
        <v>2334</v>
      </c>
      <c r="D622" t="s">
        <v>2614</v>
      </c>
      <c r="E622" t="s">
        <v>2007</v>
      </c>
      <c r="F622">
        <v>15</v>
      </c>
      <c r="G622" t="s">
        <v>2013</v>
      </c>
      <c r="H622" t="s">
        <v>2014</v>
      </c>
      <c r="I622" t="s">
        <v>2018</v>
      </c>
      <c r="J622" t="s">
        <v>2024</v>
      </c>
      <c r="K622">
        <v>27</v>
      </c>
      <c r="L622" t="s">
        <v>2032</v>
      </c>
      <c r="M622" t="s">
        <v>2036</v>
      </c>
      <c r="N622" t="str">
        <f t="shared" si="18"/>
        <v>Fail</v>
      </c>
      <c r="O622" t="str">
        <f t="shared" si="19"/>
        <v>UnderAge</v>
      </c>
      <c r="P622" t="str" cm="1">
        <f t="array" ref="P622">_xlfn.IFS(K622&gt;90,"Excellent",K622&gt;80,"Very Good",K622&gt;70,"Good",K622&gt;=50,"Poor",K622&lt;50,"Fail")</f>
        <v>Fail</v>
      </c>
    </row>
    <row r="623" spans="1:16" x14ac:dyDescent="0.25">
      <c r="A623" t="s">
        <v>632</v>
      </c>
      <c r="B623" t="s">
        <v>1631</v>
      </c>
      <c r="C623" t="s">
        <v>2148</v>
      </c>
      <c r="D623" t="s">
        <v>2736</v>
      </c>
      <c r="E623" t="s">
        <v>2007</v>
      </c>
      <c r="F623">
        <v>17</v>
      </c>
      <c r="G623" t="s">
        <v>2010</v>
      </c>
      <c r="H623" t="s">
        <v>2014</v>
      </c>
      <c r="I623" t="s">
        <v>2019</v>
      </c>
      <c r="J623" t="s">
        <v>2024</v>
      </c>
      <c r="K623">
        <v>90</v>
      </c>
      <c r="L623" t="s">
        <v>2032</v>
      </c>
      <c r="M623" t="s">
        <v>2035</v>
      </c>
      <c r="N623" t="str">
        <f t="shared" si="18"/>
        <v>Pass</v>
      </c>
      <c r="O623" t="str">
        <f t="shared" si="19"/>
        <v>UnderAge</v>
      </c>
      <c r="P623" t="str" cm="1">
        <f t="array" ref="P623">_xlfn.IFS(K623&gt;90,"Excellent",K623&gt;80,"Very Good",K623&gt;70,"Good",K623&gt;=50,"Poor",K623&lt;50,"Fail")</f>
        <v>Very Good</v>
      </c>
    </row>
    <row r="624" spans="1:16" x14ac:dyDescent="0.25">
      <c r="A624" t="s">
        <v>633</v>
      </c>
      <c r="B624" t="s">
        <v>1632</v>
      </c>
      <c r="C624" t="s">
        <v>2343</v>
      </c>
      <c r="D624" t="s">
        <v>2637</v>
      </c>
      <c r="E624" t="s">
        <v>2008</v>
      </c>
      <c r="F624">
        <v>14</v>
      </c>
      <c r="G624" t="s">
        <v>2010</v>
      </c>
      <c r="H624" t="s">
        <v>2014</v>
      </c>
      <c r="I624" t="s">
        <v>2019</v>
      </c>
      <c r="J624" t="s">
        <v>2024</v>
      </c>
      <c r="K624">
        <v>19</v>
      </c>
      <c r="L624" t="s">
        <v>2032</v>
      </c>
      <c r="M624" t="s">
        <v>2036</v>
      </c>
      <c r="N624" t="str">
        <f t="shared" si="18"/>
        <v>Fail</v>
      </c>
      <c r="O624" t="str">
        <f t="shared" si="19"/>
        <v>UnderAge</v>
      </c>
      <c r="P624" t="str" cm="1">
        <f t="array" ref="P624">_xlfn.IFS(K624&gt;90,"Excellent",K624&gt;80,"Very Good",K624&gt;70,"Good",K624&gt;=50,"Poor",K624&lt;50,"Fail")</f>
        <v>Fail</v>
      </c>
    </row>
    <row r="625" spans="1:16" x14ac:dyDescent="0.25">
      <c r="A625" t="s">
        <v>634</v>
      </c>
      <c r="B625" t="s">
        <v>1633</v>
      </c>
      <c r="C625" t="s">
        <v>2149</v>
      </c>
      <c r="D625" t="s">
        <v>2069</v>
      </c>
      <c r="E625" t="s">
        <v>2007</v>
      </c>
      <c r="F625">
        <v>17</v>
      </c>
      <c r="G625" t="s">
        <v>2011</v>
      </c>
      <c r="H625" t="s">
        <v>2016</v>
      </c>
      <c r="I625" t="s">
        <v>2022</v>
      </c>
      <c r="J625" t="s">
        <v>2024</v>
      </c>
      <c r="K625">
        <v>92</v>
      </c>
      <c r="L625" t="s">
        <v>2031</v>
      </c>
      <c r="M625" t="s">
        <v>2035</v>
      </c>
      <c r="N625" t="str">
        <f t="shared" si="18"/>
        <v>Pass</v>
      </c>
      <c r="O625" t="str">
        <f t="shared" si="19"/>
        <v>UnderAge</v>
      </c>
      <c r="P625" t="str" cm="1">
        <f t="array" ref="P625">_xlfn.IFS(K625&gt;90,"Excellent",K625&gt;80,"Very Good",K625&gt;70,"Good",K625&gt;=50,"Poor",K625&lt;50,"Fail")</f>
        <v>Excellent</v>
      </c>
    </row>
    <row r="626" spans="1:16" x14ac:dyDescent="0.25">
      <c r="A626" t="s">
        <v>635</v>
      </c>
      <c r="B626" t="s">
        <v>1634</v>
      </c>
      <c r="C626" t="s">
        <v>2256</v>
      </c>
      <c r="D626" t="s">
        <v>2542</v>
      </c>
      <c r="E626" t="s">
        <v>2007</v>
      </c>
      <c r="F626">
        <v>14</v>
      </c>
      <c r="G626" t="s">
        <v>2010</v>
      </c>
      <c r="H626" t="s">
        <v>2017</v>
      </c>
      <c r="I626" t="s">
        <v>2022</v>
      </c>
      <c r="J626" t="s">
        <v>2023</v>
      </c>
      <c r="K626">
        <v>22</v>
      </c>
      <c r="L626" t="s">
        <v>2026</v>
      </c>
      <c r="M626" t="s">
        <v>2036</v>
      </c>
      <c r="N626" t="str">
        <f t="shared" si="18"/>
        <v>Fail</v>
      </c>
      <c r="O626" t="str">
        <f t="shared" si="19"/>
        <v>UnderAge</v>
      </c>
      <c r="P626" t="str" cm="1">
        <f t="array" ref="P626">_xlfn.IFS(K626&gt;90,"Excellent",K626&gt;80,"Very Good",K626&gt;70,"Good",K626&gt;=50,"Poor",K626&lt;50,"Fail")</f>
        <v>Fail</v>
      </c>
    </row>
    <row r="627" spans="1:16" x14ac:dyDescent="0.25">
      <c r="A627" t="s">
        <v>636</v>
      </c>
      <c r="B627" t="s">
        <v>1635</v>
      </c>
      <c r="C627" t="s">
        <v>2344</v>
      </c>
      <c r="D627" t="s">
        <v>2737</v>
      </c>
      <c r="E627" t="s">
        <v>2007</v>
      </c>
      <c r="F627">
        <v>17</v>
      </c>
      <c r="G627" t="s">
        <v>2012</v>
      </c>
      <c r="H627" t="s">
        <v>2017</v>
      </c>
      <c r="I627" t="s">
        <v>2019</v>
      </c>
      <c r="J627" t="s">
        <v>2024</v>
      </c>
      <c r="K627">
        <v>36</v>
      </c>
      <c r="L627" t="s">
        <v>2031</v>
      </c>
      <c r="M627" t="s">
        <v>2036</v>
      </c>
      <c r="N627" t="str">
        <f t="shared" si="18"/>
        <v>Fail</v>
      </c>
      <c r="O627" t="str">
        <f t="shared" si="19"/>
        <v>UnderAge</v>
      </c>
      <c r="P627" t="str" cm="1">
        <f t="array" ref="P627">_xlfn.IFS(K627&gt;90,"Excellent",K627&gt;80,"Very Good",K627&gt;70,"Good",K627&gt;=50,"Poor",K627&lt;50,"Fail")</f>
        <v>Fail</v>
      </c>
    </row>
    <row r="628" spans="1:16" x14ac:dyDescent="0.25">
      <c r="A628" t="s">
        <v>637</v>
      </c>
      <c r="B628" t="s">
        <v>1636</v>
      </c>
      <c r="C628" t="s">
        <v>2340</v>
      </c>
      <c r="D628" t="s">
        <v>2738</v>
      </c>
      <c r="E628" t="s">
        <v>2008</v>
      </c>
      <c r="F628">
        <v>17</v>
      </c>
      <c r="G628" t="s">
        <v>2010</v>
      </c>
      <c r="H628" t="s">
        <v>2017</v>
      </c>
      <c r="I628" t="s">
        <v>2018</v>
      </c>
      <c r="J628" t="s">
        <v>2023</v>
      </c>
      <c r="K628">
        <v>37</v>
      </c>
      <c r="L628" t="s">
        <v>2033</v>
      </c>
      <c r="M628" t="s">
        <v>2036</v>
      </c>
      <c r="N628" t="str">
        <f t="shared" si="18"/>
        <v>Fail</v>
      </c>
      <c r="O628" t="str">
        <f t="shared" si="19"/>
        <v>UnderAge</v>
      </c>
      <c r="P628" t="str" cm="1">
        <f t="array" ref="P628">_xlfn.IFS(K628&gt;90,"Excellent",K628&gt;80,"Very Good",K628&gt;70,"Good",K628&gt;=50,"Poor",K628&lt;50,"Fail")</f>
        <v>Fail</v>
      </c>
    </row>
    <row r="629" spans="1:16" x14ac:dyDescent="0.25">
      <c r="A629" t="s">
        <v>638</v>
      </c>
      <c r="B629" t="s">
        <v>1637</v>
      </c>
      <c r="C629" t="s">
        <v>2070</v>
      </c>
      <c r="D629" t="s">
        <v>2739</v>
      </c>
      <c r="E629" t="s">
        <v>2007</v>
      </c>
      <c r="F629">
        <v>15</v>
      </c>
      <c r="G629" t="s">
        <v>2012</v>
      </c>
      <c r="H629" t="s">
        <v>2014</v>
      </c>
      <c r="I629" t="s">
        <v>2022</v>
      </c>
      <c r="J629" t="s">
        <v>2023</v>
      </c>
      <c r="K629">
        <v>48</v>
      </c>
      <c r="L629" t="s">
        <v>2033</v>
      </c>
      <c r="M629" t="s">
        <v>2036</v>
      </c>
      <c r="N629" t="str">
        <f t="shared" si="18"/>
        <v>Fail</v>
      </c>
      <c r="O629" t="str">
        <f t="shared" si="19"/>
        <v>UnderAge</v>
      </c>
      <c r="P629" t="str" cm="1">
        <f t="array" ref="P629">_xlfn.IFS(K629&gt;90,"Excellent",K629&gt;80,"Very Good",K629&gt;70,"Good",K629&gt;=50,"Poor",K629&lt;50,"Fail")</f>
        <v>Fail</v>
      </c>
    </row>
    <row r="630" spans="1:16" x14ac:dyDescent="0.25">
      <c r="A630" t="s">
        <v>639</v>
      </c>
      <c r="B630" t="s">
        <v>1638</v>
      </c>
      <c r="C630" t="s">
        <v>2203</v>
      </c>
      <c r="D630" t="s">
        <v>2453</v>
      </c>
      <c r="E630" t="s">
        <v>2007</v>
      </c>
      <c r="F630">
        <v>17</v>
      </c>
      <c r="G630" t="s">
        <v>2011</v>
      </c>
      <c r="H630" t="s">
        <v>2016</v>
      </c>
      <c r="I630" t="s">
        <v>2021</v>
      </c>
      <c r="J630" t="s">
        <v>2023</v>
      </c>
      <c r="K630">
        <v>30</v>
      </c>
      <c r="L630" t="s">
        <v>2027</v>
      </c>
      <c r="M630" t="s">
        <v>2036</v>
      </c>
      <c r="N630" t="str">
        <f t="shared" si="18"/>
        <v>Fail</v>
      </c>
      <c r="O630" t="str">
        <f t="shared" si="19"/>
        <v>UnderAge</v>
      </c>
      <c r="P630" t="str" cm="1">
        <f t="array" ref="P630">_xlfn.IFS(K630&gt;90,"Excellent",K630&gt;80,"Very Good",K630&gt;70,"Good",K630&gt;=50,"Poor",K630&lt;50,"Fail")</f>
        <v>Fail</v>
      </c>
    </row>
    <row r="631" spans="1:16" x14ac:dyDescent="0.25">
      <c r="A631" t="s">
        <v>640</v>
      </c>
      <c r="B631" t="s">
        <v>1639</v>
      </c>
      <c r="C631" t="s">
        <v>2345</v>
      </c>
      <c r="D631" t="s">
        <v>2740</v>
      </c>
      <c r="E631" t="s">
        <v>2007</v>
      </c>
      <c r="F631">
        <v>16</v>
      </c>
      <c r="G631" t="s">
        <v>2012</v>
      </c>
      <c r="H631" t="s">
        <v>2014</v>
      </c>
      <c r="I631" t="s">
        <v>2018</v>
      </c>
      <c r="J631" t="s">
        <v>2023</v>
      </c>
      <c r="K631">
        <v>97</v>
      </c>
      <c r="L631" t="s">
        <v>2025</v>
      </c>
      <c r="M631" t="s">
        <v>2035</v>
      </c>
      <c r="N631" t="str">
        <f t="shared" si="18"/>
        <v>Pass</v>
      </c>
      <c r="O631" t="str">
        <f t="shared" si="19"/>
        <v>UnderAge</v>
      </c>
      <c r="P631" t="str" cm="1">
        <f t="array" ref="P631">_xlfn.IFS(K631&gt;90,"Excellent",K631&gt;80,"Very Good",K631&gt;70,"Good",K631&gt;=50,"Poor",K631&lt;50,"Fail")</f>
        <v>Excellent</v>
      </c>
    </row>
    <row r="632" spans="1:16" x14ac:dyDescent="0.25">
      <c r="A632" t="s">
        <v>641</v>
      </c>
      <c r="B632" t="s">
        <v>1640</v>
      </c>
      <c r="C632" t="s">
        <v>2088</v>
      </c>
      <c r="D632" t="s">
        <v>2543</v>
      </c>
      <c r="E632" t="s">
        <v>2007</v>
      </c>
      <c r="F632">
        <v>16</v>
      </c>
      <c r="G632" t="s">
        <v>2011</v>
      </c>
      <c r="H632" t="s">
        <v>2017</v>
      </c>
      <c r="I632" t="s">
        <v>2021</v>
      </c>
      <c r="J632" t="s">
        <v>2024</v>
      </c>
      <c r="K632">
        <v>92</v>
      </c>
      <c r="L632" t="s">
        <v>2026</v>
      </c>
      <c r="M632" t="s">
        <v>2035</v>
      </c>
      <c r="N632" t="str">
        <f t="shared" si="18"/>
        <v>Pass</v>
      </c>
      <c r="O632" t="str">
        <f t="shared" si="19"/>
        <v>UnderAge</v>
      </c>
      <c r="P632" t="str" cm="1">
        <f t="array" ref="P632">_xlfn.IFS(K632&gt;90,"Excellent",K632&gt;80,"Very Good",K632&gt;70,"Good",K632&gt;=50,"Poor",K632&lt;50,"Fail")</f>
        <v>Excellent</v>
      </c>
    </row>
    <row r="633" spans="1:16" x14ac:dyDescent="0.25">
      <c r="A633" t="s">
        <v>642</v>
      </c>
      <c r="B633" t="s">
        <v>1641</v>
      </c>
      <c r="C633" t="s">
        <v>2211</v>
      </c>
      <c r="D633" t="s">
        <v>2474</v>
      </c>
      <c r="E633" t="s">
        <v>2008</v>
      </c>
      <c r="F633">
        <v>14</v>
      </c>
      <c r="G633" t="s">
        <v>2013</v>
      </c>
      <c r="H633" t="s">
        <v>2016</v>
      </c>
      <c r="I633" t="s">
        <v>2019</v>
      </c>
      <c r="J633" t="s">
        <v>2024</v>
      </c>
      <c r="K633">
        <v>21</v>
      </c>
      <c r="L633" t="s">
        <v>2031</v>
      </c>
      <c r="M633" t="s">
        <v>2036</v>
      </c>
      <c r="N633" t="str">
        <f t="shared" si="18"/>
        <v>Fail</v>
      </c>
      <c r="O633" t="str">
        <f t="shared" si="19"/>
        <v>UnderAge</v>
      </c>
      <c r="P633" t="str" cm="1">
        <f t="array" ref="P633">_xlfn.IFS(K633&gt;90,"Excellent",K633&gt;80,"Very Good",K633&gt;70,"Good",K633&gt;=50,"Poor",K633&lt;50,"Fail")</f>
        <v>Fail</v>
      </c>
    </row>
    <row r="634" spans="1:16" x14ac:dyDescent="0.25">
      <c r="A634" t="s">
        <v>643</v>
      </c>
      <c r="B634" t="s">
        <v>1642</v>
      </c>
      <c r="C634" t="s">
        <v>2113</v>
      </c>
      <c r="D634" t="s">
        <v>2633</v>
      </c>
      <c r="E634" t="s">
        <v>2008</v>
      </c>
      <c r="F634">
        <v>16</v>
      </c>
      <c r="G634" t="s">
        <v>2011</v>
      </c>
      <c r="H634" t="s">
        <v>2016</v>
      </c>
      <c r="I634" t="s">
        <v>2019</v>
      </c>
      <c r="J634" t="s">
        <v>2023</v>
      </c>
      <c r="K634">
        <v>54</v>
      </c>
      <c r="L634" t="s">
        <v>2034</v>
      </c>
      <c r="M634" t="s">
        <v>2035</v>
      </c>
      <c r="N634" t="str">
        <f t="shared" si="18"/>
        <v>Pass</v>
      </c>
      <c r="O634" t="str">
        <f t="shared" si="19"/>
        <v>UnderAge</v>
      </c>
      <c r="P634" t="str" cm="1">
        <f t="array" ref="P634">_xlfn.IFS(K634&gt;90,"Excellent",K634&gt;80,"Very Good",K634&gt;70,"Good",K634&gt;=50,"Poor",K634&lt;50,"Fail")</f>
        <v>Poor</v>
      </c>
    </row>
    <row r="635" spans="1:16" x14ac:dyDescent="0.25">
      <c r="A635" t="s">
        <v>644</v>
      </c>
      <c r="B635" t="s">
        <v>1643</v>
      </c>
      <c r="C635" t="s">
        <v>2346</v>
      </c>
      <c r="D635" t="s">
        <v>2568</v>
      </c>
      <c r="E635" t="s">
        <v>2007</v>
      </c>
      <c r="F635">
        <v>14</v>
      </c>
      <c r="G635" t="s">
        <v>2010</v>
      </c>
      <c r="H635" t="s">
        <v>2017</v>
      </c>
      <c r="I635" t="s">
        <v>2020</v>
      </c>
      <c r="J635" t="s">
        <v>2023</v>
      </c>
      <c r="K635">
        <v>15</v>
      </c>
      <c r="L635" t="s">
        <v>2026</v>
      </c>
      <c r="M635" t="s">
        <v>2036</v>
      </c>
      <c r="N635" t="str">
        <f t="shared" si="18"/>
        <v>Fail</v>
      </c>
      <c r="O635" t="str">
        <f t="shared" si="19"/>
        <v>UnderAge</v>
      </c>
      <c r="P635" t="str" cm="1">
        <f t="array" ref="P635">_xlfn.IFS(K635&gt;90,"Excellent",K635&gt;80,"Very Good",K635&gt;70,"Good",K635&gt;=50,"Poor",K635&lt;50,"Fail")</f>
        <v>Fail</v>
      </c>
    </row>
    <row r="636" spans="1:16" x14ac:dyDescent="0.25">
      <c r="A636" t="s">
        <v>645</v>
      </c>
      <c r="B636" t="s">
        <v>1644</v>
      </c>
      <c r="C636" t="s">
        <v>2095</v>
      </c>
      <c r="D636" t="s">
        <v>2050</v>
      </c>
      <c r="E636" t="s">
        <v>2007</v>
      </c>
      <c r="F636">
        <v>14</v>
      </c>
      <c r="G636" t="s">
        <v>2013</v>
      </c>
      <c r="H636" t="s">
        <v>2015</v>
      </c>
      <c r="I636" t="s">
        <v>2018</v>
      </c>
      <c r="J636" t="s">
        <v>2023</v>
      </c>
      <c r="K636">
        <v>90</v>
      </c>
      <c r="L636" t="s">
        <v>2028</v>
      </c>
      <c r="M636" t="s">
        <v>2035</v>
      </c>
      <c r="N636" t="str">
        <f t="shared" si="18"/>
        <v>Pass</v>
      </c>
      <c r="O636" t="str">
        <f t="shared" si="19"/>
        <v>UnderAge</v>
      </c>
      <c r="P636" t="str" cm="1">
        <f t="array" ref="P636">_xlfn.IFS(K636&gt;90,"Excellent",K636&gt;80,"Very Good",K636&gt;70,"Good",K636&gt;=50,"Poor",K636&lt;50,"Fail")</f>
        <v>Very Good</v>
      </c>
    </row>
    <row r="637" spans="1:16" x14ac:dyDescent="0.25">
      <c r="A637" t="s">
        <v>646</v>
      </c>
      <c r="B637" t="s">
        <v>1645</v>
      </c>
      <c r="C637" t="s">
        <v>2217</v>
      </c>
      <c r="D637" t="s">
        <v>2543</v>
      </c>
      <c r="E637" t="s">
        <v>2007</v>
      </c>
      <c r="F637">
        <v>17</v>
      </c>
      <c r="G637" t="s">
        <v>2010</v>
      </c>
      <c r="H637" t="s">
        <v>2017</v>
      </c>
      <c r="I637" t="s">
        <v>2021</v>
      </c>
      <c r="J637" t="s">
        <v>2024</v>
      </c>
      <c r="K637">
        <v>72</v>
      </c>
      <c r="L637" t="s">
        <v>2030</v>
      </c>
      <c r="M637" t="s">
        <v>2035</v>
      </c>
      <c r="N637" t="str">
        <f t="shared" si="18"/>
        <v>Pass</v>
      </c>
      <c r="O637" t="str">
        <f t="shared" si="19"/>
        <v>UnderAge</v>
      </c>
      <c r="P637" t="str" cm="1">
        <f t="array" ref="P637">_xlfn.IFS(K637&gt;90,"Excellent",K637&gt;80,"Very Good",K637&gt;70,"Good",K637&gt;=50,"Poor",K637&lt;50,"Fail")</f>
        <v>Good</v>
      </c>
    </row>
    <row r="638" spans="1:16" x14ac:dyDescent="0.25">
      <c r="A638" t="s">
        <v>647</v>
      </c>
      <c r="B638" t="s">
        <v>1646</v>
      </c>
      <c r="C638" t="s">
        <v>2347</v>
      </c>
      <c r="D638" t="s">
        <v>2741</v>
      </c>
      <c r="E638" t="s">
        <v>2008</v>
      </c>
      <c r="F638">
        <v>16</v>
      </c>
      <c r="G638" t="s">
        <v>2012</v>
      </c>
      <c r="H638" t="s">
        <v>2014</v>
      </c>
      <c r="I638" t="s">
        <v>2021</v>
      </c>
      <c r="J638" t="s">
        <v>2023</v>
      </c>
      <c r="K638">
        <v>36</v>
      </c>
      <c r="L638" t="s">
        <v>2030</v>
      </c>
      <c r="M638" t="s">
        <v>2036</v>
      </c>
      <c r="N638" t="str">
        <f t="shared" si="18"/>
        <v>Fail</v>
      </c>
      <c r="O638" t="str">
        <f t="shared" si="19"/>
        <v>UnderAge</v>
      </c>
      <c r="P638" t="str" cm="1">
        <f t="array" ref="P638">_xlfn.IFS(K638&gt;90,"Excellent",K638&gt;80,"Very Good",K638&gt;70,"Good",K638&gt;=50,"Poor",K638&lt;50,"Fail")</f>
        <v>Fail</v>
      </c>
    </row>
    <row r="639" spans="1:16" x14ac:dyDescent="0.25">
      <c r="A639" t="s">
        <v>648</v>
      </c>
      <c r="B639" t="s">
        <v>1647</v>
      </c>
      <c r="C639" t="s">
        <v>2178</v>
      </c>
      <c r="D639" t="s">
        <v>2046</v>
      </c>
      <c r="E639" t="s">
        <v>2007</v>
      </c>
      <c r="F639">
        <v>18</v>
      </c>
      <c r="G639" t="s">
        <v>2013</v>
      </c>
      <c r="H639" t="s">
        <v>2016</v>
      </c>
      <c r="I639" t="s">
        <v>2021</v>
      </c>
      <c r="J639" t="s">
        <v>2024</v>
      </c>
      <c r="K639">
        <v>58</v>
      </c>
      <c r="L639" t="s">
        <v>2030</v>
      </c>
      <c r="M639" t="s">
        <v>2035</v>
      </c>
      <c r="N639" t="str">
        <f t="shared" si="18"/>
        <v>Pass</v>
      </c>
      <c r="O639" t="str">
        <f t="shared" si="19"/>
        <v>Adult</v>
      </c>
      <c r="P639" t="str" cm="1">
        <f t="array" ref="P639">_xlfn.IFS(K639&gt;90,"Excellent",K639&gt;80,"Very Good",K639&gt;70,"Good",K639&gt;=50,"Poor",K639&lt;50,"Fail")</f>
        <v>Poor</v>
      </c>
    </row>
    <row r="640" spans="1:16" x14ac:dyDescent="0.25">
      <c r="A640" t="s">
        <v>649</v>
      </c>
      <c r="B640" t="s">
        <v>1648</v>
      </c>
      <c r="C640" t="s">
        <v>2175</v>
      </c>
      <c r="D640" t="s">
        <v>2742</v>
      </c>
      <c r="E640" t="s">
        <v>2007</v>
      </c>
      <c r="F640">
        <v>17</v>
      </c>
      <c r="G640" t="s">
        <v>2012</v>
      </c>
      <c r="H640" t="s">
        <v>2014</v>
      </c>
      <c r="I640" t="s">
        <v>2018</v>
      </c>
      <c r="J640" t="s">
        <v>2023</v>
      </c>
      <c r="K640">
        <v>27</v>
      </c>
      <c r="L640" t="s">
        <v>2033</v>
      </c>
      <c r="M640" t="s">
        <v>2036</v>
      </c>
      <c r="N640" t="str">
        <f t="shared" si="18"/>
        <v>Fail</v>
      </c>
      <c r="O640" t="str">
        <f t="shared" si="19"/>
        <v>UnderAge</v>
      </c>
      <c r="P640" t="str" cm="1">
        <f t="array" ref="P640">_xlfn.IFS(K640&gt;90,"Excellent",K640&gt;80,"Very Good",K640&gt;70,"Good",K640&gt;=50,"Poor",K640&lt;50,"Fail")</f>
        <v>Fail</v>
      </c>
    </row>
    <row r="641" spans="1:16" x14ac:dyDescent="0.25">
      <c r="A641" t="s">
        <v>650</v>
      </c>
      <c r="B641" t="s">
        <v>1649</v>
      </c>
      <c r="C641" t="s">
        <v>2119</v>
      </c>
      <c r="D641" t="s">
        <v>2743</v>
      </c>
      <c r="E641" t="s">
        <v>2007</v>
      </c>
      <c r="F641">
        <v>14</v>
      </c>
      <c r="G641" t="s">
        <v>2010</v>
      </c>
      <c r="H641" t="s">
        <v>2014</v>
      </c>
      <c r="I641" t="s">
        <v>2018</v>
      </c>
      <c r="J641" t="s">
        <v>2023</v>
      </c>
      <c r="K641">
        <v>14</v>
      </c>
      <c r="L641" t="s">
        <v>2031</v>
      </c>
      <c r="M641" t="s">
        <v>2036</v>
      </c>
      <c r="N641" t="str">
        <f t="shared" si="18"/>
        <v>Fail</v>
      </c>
      <c r="O641" t="str">
        <f t="shared" si="19"/>
        <v>UnderAge</v>
      </c>
      <c r="P641" t="str" cm="1">
        <f t="array" ref="P641">_xlfn.IFS(K641&gt;90,"Excellent",K641&gt;80,"Very Good",K641&gt;70,"Good",K641&gt;=50,"Poor",K641&lt;50,"Fail")</f>
        <v>Fail</v>
      </c>
    </row>
    <row r="642" spans="1:16" x14ac:dyDescent="0.25">
      <c r="A642" t="s">
        <v>651</v>
      </c>
      <c r="B642" t="s">
        <v>1650</v>
      </c>
      <c r="C642" t="s">
        <v>2279</v>
      </c>
      <c r="D642" t="s">
        <v>2479</v>
      </c>
      <c r="E642" t="s">
        <v>2007</v>
      </c>
      <c r="F642">
        <v>17</v>
      </c>
      <c r="G642" t="s">
        <v>2010</v>
      </c>
      <c r="H642" t="s">
        <v>2015</v>
      </c>
      <c r="I642" t="s">
        <v>2020</v>
      </c>
      <c r="J642" t="s">
        <v>2024</v>
      </c>
      <c r="K642">
        <v>80</v>
      </c>
      <c r="L642" t="s">
        <v>2030</v>
      </c>
      <c r="M642" t="s">
        <v>2035</v>
      </c>
      <c r="N642" t="str">
        <f t="shared" si="18"/>
        <v>Pass</v>
      </c>
      <c r="O642" t="str">
        <f t="shared" si="19"/>
        <v>UnderAge</v>
      </c>
      <c r="P642" t="str" cm="1">
        <f t="array" ref="P642">_xlfn.IFS(K642&gt;90,"Excellent",K642&gt;80,"Very Good",K642&gt;70,"Good",K642&gt;=50,"Poor",K642&lt;50,"Fail")</f>
        <v>Good</v>
      </c>
    </row>
    <row r="643" spans="1:16" x14ac:dyDescent="0.25">
      <c r="A643" t="s">
        <v>652</v>
      </c>
      <c r="B643" t="s">
        <v>1651</v>
      </c>
      <c r="C643" t="s">
        <v>2237</v>
      </c>
      <c r="D643" t="s">
        <v>2744</v>
      </c>
      <c r="E643" t="s">
        <v>2008</v>
      </c>
      <c r="F643">
        <v>17</v>
      </c>
      <c r="G643" t="s">
        <v>2012</v>
      </c>
      <c r="H643" t="s">
        <v>2015</v>
      </c>
      <c r="I643" t="s">
        <v>2019</v>
      </c>
      <c r="J643" t="s">
        <v>2023</v>
      </c>
      <c r="K643">
        <v>59</v>
      </c>
      <c r="L643" t="s">
        <v>2033</v>
      </c>
      <c r="M643" t="s">
        <v>2035</v>
      </c>
      <c r="N643" t="str">
        <f t="shared" ref="N643:N706" si="20">IF(K643&gt;=50,"Pass","Fail")</f>
        <v>Pass</v>
      </c>
      <c r="O643" t="str">
        <f t="shared" ref="O643:O706" si="21">IF(F643&gt;=18,"Adult","UnderAge")</f>
        <v>UnderAge</v>
      </c>
      <c r="P643" t="str" cm="1">
        <f t="array" ref="P643">_xlfn.IFS(K643&gt;90,"Excellent",K643&gt;80,"Very Good",K643&gt;70,"Good",K643&gt;=50,"Poor",K643&lt;50,"Fail")</f>
        <v>Poor</v>
      </c>
    </row>
    <row r="644" spans="1:16" x14ac:dyDescent="0.25">
      <c r="A644" t="s">
        <v>653</v>
      </c>
      <c r="B644" t="s">
        <v>1652</v>
      </c>
      <c r="C644" t="s">
        <v>2333</v>
      </c>
      <c r="D644" t="s">
        <v>2520</v>
      </c>
      <c r="E644" t="s">
        <v>2008</v>
      </c>
      <c r="F644">
        <v>15</v>
      </c>
      <c r="G644" t="s">
        <v>2012</v>
      </c>
      <c r="H644" t="s">
        <v>2017</v>
      </c>
      <c r="I644" t="s">
        <v>2019</v>
      </c>
      <c r="J644" t="s">
        <v>2024</v>
      </c>
      <c r="K644">
        <v>81</v>
      </c>
      <c r="L644" t="s">
        <v>2031</v>
      </c>
      <c r="M644" t="s">
        <v>2035</v>
      </c>
      <c r="N644" t="str">
        <f t="shared" si="20"/>
        <v>Pass</v>
      </c>
      <c r="O644" t="str">
        <f t="shared" si="21"/>
        <v>UnderAge</v>
      </c>
      <c r="P644" t="str" cm="1">
        <f t="array" ref="P644">_xlfn.IFS(K644&gt;90,"Excellent",K644&gt;80,"Very Good",K644&gt;70,"Good",K644&gt;=50,"Poor",K644&lt;50,"Fail")</f>
        <v>Very Good</v>
      </c>
    </row>
    <row r="645" spans="1:16" x14ac:dyDescent="0.25">
      <c r="A645" t="s">
        <v>654</v>
      </c>
      <c r="B645" t="s">
        <v>1653</v>
      </c>
      <c r="C645" t="s">
        <v>2224</v>
      </c>
      <c r="D645" t="s">
        <v>2524</v>
      </c>
      <c r="E645" t="s">
        <v>2007</v>
      </c>
      <c r="F645">
        <v>18</v>
      </c>
      <c r="G645" t="s">
        <v>2009</v>
      </c>
      <c r="H645" t="s">
        <v>2017</v>
      </c>
      <c r="I645" t="s">
        <v>2022</v>
      </c>
      <c r="J645" t="s">
        <v>2024</v>
      </c>
      <c r="K645">
        <v>24</v>
      </c>
      <c r="L645" t="s">
        <v>2030</v>
      </c>
      <c r="M645" t="s">
        <v>2036</v>
      </c>
      <c r="N645" t="str">
        <f t="shared" si="20"/>
        <v>Fail</v>
      </c>
      <c r="O645" t="str">
        <f t="shared" si="21"/>
        <v>Adult</v>
      </c>
      <c r="P645" t="str" cm="1">
        <f t="array" ref="P645">_xlfn.IFS(K645&gt;90,"Excellent",K645&gt;80,"Very Good",K645&gt;70,"Good",K645&gt;=50,"Poor",K645&lt;50,"Fail")</f>
        <v>Fail</v>
      </c>
    </row>
    <row r="646" spans="1:16" x14ac:dyDescent="0.25">
      <c r="A646" t="s">
        <v>655</v>
      </c>
      <c r="B646" t="s">
        <v>1654</v>
      </c>
      <c r="C646" t="s">
        <v>2292</v>
      </c>
      <c r="D646" t="s">
        <v>2520</v>
      </c>
      <c r="E646" t="s">
        <v>2007</v>
      </c>
      <c r="F646">
        <v>14</v>
      </c>
      <c r="G646" t="s">
        <v>2012</v>
      </c>
      <c r="H646" t="s">
        <v>2014</v>
      </c>
      <c r="I646" t="s">
        <v>2020</v>
      </c>
      <c r="J646" t="s">
        <v>2023</v>
      </c>
      <c r="K646">
        <v>10</v>
      </c>
      <c r="L646" t="s">
        <v>2028</v>
      </c>
      <c r="M646" t="s">
        <v>2036</v>
      </c>
      <c r="N646" t="str">
        <f t="shared" si="20"/>
        <v>Fail</v>
      </c>
      <c r="O646" t="str">
        <f t="shared" si="21"/>
        <v>UnderAge</v>
      </c>
      <c r="P646" t="str" cm="1">
        <f t="array" ref="P646">_xlfn.IFS(K646&gt;90,"Excellent",K646&gt;80,"Very Good",K646&gt;70,"Good",K646&gt;=50,"Poor",K646&lt;50,"Fail")</f>
        <v>Fail</v>
      </c>
    </row>
    <row r="647" spans="1:16" x14ac:dyDescent="0.25">
      <c r="A647" t="s">
        <v>656</v>
      </c>
      <c r="B647" t="s">
        <v>1655</v>
      </c>
      <c r="C647" t="s">
        <v>2115</v>
      </c>
      <c r="D647" t="s">
        <v>2745</v>
      </c>
      <c r="E647" t="s">
        <v>2008</v>
      </c>
      <c r="F647">
        <v>18</v>
      </c>
      <c r="G647" t="s">
        <v>2013</v>
      </c>
      <c r="H647" t="s">
        <v>2017</v>
      </c>
      <c r="I647" t="s">
        <v>2019</v>
      </c>
      <c r="J647" t="s">
        <v>2024</v>
      </c>
      <c r="K647">
        <v>97</v>
      </c>
      <c r="L647" t="s">
        <v>2028</v>
      </c>
      <c r="M647" t="s">
        <v>2035</v>
      </c>
      <c r="N647" t="str">
        <f t="shared" si="20"/>
        <v>Pass</v>
      </c>
      <c r="O647" t="str">
        <f t="shared" si="21"/>
        <v>Adult</v>
      </c>
      <c r="P647" t="str" cm="1">
        <f t="array" ref="P647">_xlfn.IFS(K647&gt;90,"Excellent",K647&gt;80,"Very Good",K647&gt;70,"Good",K647&gt;=50,"Poor",K647&lt;50,"Fail")</f>
        <v>Excellent</v>
      </c>
    </row>
    <row r="648" spans="1:16" x14ac:dyDescent="0.25">
      <c r="A648" t="s">
        <v>657</v>
      </c>
      <c r="B648" t="s">
        <v>1656</v>
      </c>
      <c r="C648" t="s">
        <v>2306</v>
      </c>
      <c r="D648" t="s">
        <v>2332</v>
      </c>
      <c r="E648" t="s">
        <v>2007</v>
      </c>
      <c r="F648">
        <v>16</v>
      </c>
      <c r="G648" t="s">
        <v>2013</v>
      </c>
      <c r="H648" t="s">
        <v>2016</v>
      </c>
      <c r="I648" t="s">
        <v>2020</v>
      </c>
      <c r="J648" t="s">
        <v>2024</v>
      </c>
      <c r="K648">
        <v>2</v>
      </c>
      <c r="L648" t="s">
        <v>2029</v>
      </c>
      <c r="M648" t="s">
        <v>2036</v>
      </c>
      <c r="N648" t="str">
        <f t="shared" si="20"/>
        <v>Fail</v>
      </c>
      <c r="O648" t="str">
        <f t="shared" si="21"/>
        <v>UnderAge</v>
      </c>
      <c r="P648" t="str" cm="1">
        <f t="array" ref="P648">_xlfn.IFS(K648&gt;90,"Excellent",K648&gt;80,"Very Good",K648&gt;70,"Good",K648&gt;=50,"Poor",K648&lt;50,"Fail")</f>
        <v>Fail</v>
      </c>
    </row>
    <row r="649" spans="1:16" x14ac:dyDescent="0.25">
      <c r="A649" t="s">
        <v>658</v>
      </c>
      <c r="B649" t="s">
        <v>1657</v>
      </c>
      <c r="C649" t="s">
        <v>2138</v>
      </c>
      <c r="D649" t="s">
        <v>2664</v>
      </c>
      <c r="E649" t="s">
        <v>2008</v>
      </c>
      <c r="F649">
        <v>18</v>
      </c>
      <c r="G649" t="s">
        <v>2013</v>
      </c>
      <c r="H649" t="s">
        <v>2014</v>
      </c>
      <c r="I649" t="s">
        <v>2019</v>
      </c>
      <c r="J649" t="s">
        <v>2023</v>
      </c>
      <c r="K649">
        <v>21</v>
      </c>
      <c r="L649" t="s">
        <v>2033</v>
      </c>
      <c r="M649" t="s">
        <v>2036</v>
      </c>
      <c r="N649" t="str">
        <f t="shared" si="20"/>
        <v>Fail</v>
      </c>
      <c r="O649" t="str">
        <f t="shared" si="21"/>
        <v>Adult</v>
      </c>
      <c r="P649" t="str" cm="1">
        <f t="array" ref="P649">_xlfn.IFS(K649&gt;90,"Excellent",K649&gt;80,"Very Good",K649&gt;70,"Good",K649&gt;=50,"Poor",K649&lt;50,"Fail")</f>
        <v>Fail</v>
      </c>
    </row>
    <row r="650" spans="1:16" x14ac:dyDescent="0.25">
      <c r="A650" t="s">
        <v>659</v>
      </c>
      <c r="B650" t="s">
        <v>1658</v>
      </c>
      <c r="C650" t="s">
        <v>2083</v>
      </c>
      <c r="D650" t="s">
        <v>2746</v>
      </c>
      <c r="E650" t="s">
        <v>2008</v>
      </c>
      <c r="F650">
        <v>18</v>
      </c>
      <c r="G650" t="s">
        <v>2013</v>
      </c>
      <c r="H650" t="s">
        <v>2015</v>
      </c>
      <c r="I650" t="s">
        <v>2021</v>
      </c>
      <c r="J650" t="s">
        <v>2024</v>
      </c>
      <c r="K650">
        <v>100</v>
      </c>
      <c r="L650" t="s">
        <v>2025</v>
      </c>
      <c r="M650" t="s">
        <v>2035</v>
      </c>
      <c r="N650" t="str">
        <f t="shared" si="20"/>
        <v>Pass</v>
      </c>
      <c r="O650" t="str">
        <f t="shared" si="21"/>
        <v>Adult</v>
      </c>
      <c r="P650" t="str" cm="1">
        <f t="array" ref="P650">_xlfn.IFS(K650&gt;90,"Excellent",K650&gt;80,"Very Good",K650&gt;70,"Good",K650&gt;=50,"Poor",K650&lt;50,"Fail")</f>
        <v>Excellent</v>
      </c>
    </row>
    <row r="651" spans="1:16" x14ac:dyDescent="0.25">
      <c r="A651" t="s">
        <v>660</v>
      </c>
      <c r="B651" t="s">
        <v>1659</v>
      </c>
      <c r="C651" t="s">
        <v>2202</v>
      </c>
      <c r="D651" t="s">
        <v>2421</v>
      </c>
      <c r="E651" t="s">
        <v>2007</v>
      </c>
      <c r="F651">
        <v>17</v>
      </c>
      <c r="G651" t="s">
        <v>2010</v>
      </c>
      <c r="H651" t="s">
        <v>2017</v>
      </c>
      <c r="I651" t="s">
        <v>2018</v>
      </c>
      <c r="J651" t="s">
        <v>2023</v>
      </c>
      <c r="K651">
        <v>13</v>
      </c>
      <c r="L651" t="s">
        <v>2028</v>
      </c>
      <c r="M651" t="s">
        <v>2036</v>
      </c>
      <c r="N651" t="str">
        <f t="shared" si="20"/>
        <v>Fail</v>
      </c>
      <c r="O651" t="str">
        <f t="shared" si="21"/>
        <v>UnderAge</v>
      </c>
      <c r="P651" t="str" cm="1">
        <f t="array" ref="P651">_xlfn.IFS(K651&gt;90,"Excellent",K651&gt;80,"Very Good",K651&gt;70,"Good",K651&gt;=50,"Poor",K651&lt;50,"Fail")</f>
        <v>Fail</v>
      </c>
    </row>
    <row r="652" spans="1:16" x14ac:dyDescent="0.25">
      <c r="A652" t="s">
        <v>661</v>
      </c>
      <c r="B652" t="s">
        <v>1660</v>
      </c>
      <c r="C652" t="s">
        <v>2067</v>
      </c>
      <c r="D652" t="s">
        <v>2474</v>
      </c>
      <c r="E652" t="s">
        <v>2008</v>
      </c>
      <c r="F652">
        <v>17</v>
      </c>
      <c r="G652" t="s">
        <v>2011</v>
      </c>
      <c r="H652" t="s">
        <v>2015</v>
      </c>
      <c r="I652" t="s">
        <v>2021</v>
      </c>
      <c r="J652" t="s">
        <v>2024</v>
      </c>
      <c r="K652">
        <v>66</v>
      </c>
      <c r="L652" t="s">
        <v>2026</v>
      </c>
      <c r="M652" t="s">
        <v>2035</v>
      </c>
      <c r="N652" t="str">
        <f t="shared" si="20"/>
        <v>Pass</v>
      </c>
      <c r="O652" t="str">
        <f t="shared" si="21"/>
        <v>UnderAge</v>
      </c>
      <c r="P652" t="str" cm="1">
        <f t="array" ref="P652">_xlfn.IFS(K652&gt;90,"Excellent",K652&gt;80,"Very Good",K652&gt;70,"Good",K652&gt;=50,"Poor",K652&lt;50,"Fail")</f>
        <v>Poor</v>
      </c>
    </row>
    <row r="653" spans="1:16" x14ac:dyDescent="0.25">
      <c r="A653" t="s">
        <v>662</v>
      </c>
      <c r="B653" t="s">
        <v>1661</v>
      </c>
      <c r="C653" t="s">
        <v>2076</v>
      </c>
      <c r="D653" t="s">
        <v>2665</v>
      </c>
      <c r="E653" t="s">
        <v>2008</v>
      </c>
      <c r="F653">
        <v>17</v>
      </c>
      <c r="G653" t="s">
        <v>2010</v>
      </c>
      <c r="H653" t="s">
        <v>2017</v>
      </c>
      <c r="I653" t="s">
        <v>2020</v>
      </c>
      <c r="J653" t="s">
        <v>2024</v>
      </c>
      <c r="K653">
        <v>98</v>
      </c>
      <c r="L653" t="s">
        <v>2025</v>
      </c>
      <c r="M653" t="s">
        <v>2035</v>
      </c>
      <c r="N653" t="str">
        <f t="shared" si="20"/>
        <v>Pass</v>
      </c>
      <c r="O653" t="str">
        <f t="shared" si="21"/>
        <v>UnderAge</v>
      </c>
      <c r="P653" t="str" cm="1">
        <f t="array" ref="P653">_xlfn.IFS(K653&gt;90,"Excellent",K653&gt;80,"Very Good",K653&gt;70,"Good",K653&gt;=50,"Poor",K653&lt;50,"Fail")</f>
        <v>Excellent</v>
      </c>
    </row>
    <row r="654" spans="1:16" x14ac:dyDescent="0.25">
      <c r="A654" t="s">
        <v>663</v>
      </c>
      <c r="B654" t="s">
        <v>1662</v>
      </c>
      <c r="C654" t="s">
        <v>2192</v>
      </c>
      <c r="D654" t="s">
        <v>2747</v>
      </c>
      <c r="E654" t="s">
        <v>2007</v>
      </c>
      <c r="F654">
        <v>18</v>
      </c>
      <c r="G654" t="s">
        <v>2011</v>
      </c>
      <c r="H654" t="s">
        <v>2017</v>
      </c>
      <c r="I654" t="s">
        <v>2022</v>
      </c>
      <c r="J654" t="s">
        <v>2023</v>
      </c>
      <c r="K654">
        <v>92</v>
      </c>
      <c r="L654" t="s">
        <v>2031</v>
      </c>
      <c r="M654" t="s">
        <v>2035</v>
      </c>
      <c r="N654" t="str">
        <f t="shared" si="20"/>
        <v>Pass</v>
      </c>
      <c r="O654" t="str">
        <f t="shared" si="21"/>
        <v>Adult</v>
      </c>
      <c r="P654" t="str" cm="1">
        <f t="array" ref="P654">_xlfn.IFS(K654&gt;90,"Excellent",K654&gt;80,"Very Good",K654&gt;70,"Good",K654&gt;=50,"Poor",K654&lt;50,"Fail")</f>
        <v>Excellent</v>
      </c>
    </row>
    <row r="655" spans="1:16" x14ac:dyDescent="0.25">
      <c r="A655" t="s">
        <v>664</v>
      </c>
      <c r="B655" t="s">
        <v>1663</v>
      </c>
      <c r="C655" t="s">
        <v>2138</v>
      </c>
      <c r="D655" t="s">
        <v>2467</v>
      </c>
      <c r="E655" t="s">
        <v>2007</v>
      </c>
      <c r="F655">
        <v>14</v>
      </c>
      <c r="G655" t="s">
        <v>2010</v>
      </c>
      <c r="H655" t="s">
        <v>2015</v>
      </c>
      <c r="I655" t="s">
        <v>2021</v>
      </c>
      <c r="J655" t="s">
        <v>2024</v>
      </c>
      <c r="K655">
        <v>70</v>
      </c>
      <c r="L655" t="s">
        <v>2025</v>
      </c>
      <c r="M655" t="s">
        <v>2035</v>
      </c>
      <c r="N655" t="str">
        <f t="shared" si="20"/>
        <v>Pass</v>
      </c>
      <c r="O655" t="str">
        <f t="shared" si="21"/>
        <v>UnderAge</v>
      </c>
      <c r="P655" t="str" cm="1">
        <f t="array" ref="P655">_xlfn.IFS(K655&gt;90,"Excellent",K655&gt;80,"Very Good",K655&gt;70,"Good",K655&gt;=50,"Poor",K655&lt;50,"Fail")</f>
        <v>Poor</v>
      </c>
    </row>
    <row r="656" spans="1:16" x14ac:dyDescent="0.25">
      <c r="A656" t="s">
        <v>665</v>
      </c>
      <c r="B656" t="s">
        <v>1664</v>
      </c>
      <c r="C656" t="s">
        <v>2261</v>
      </c>
      <c r="D656" t="s">
        <v>2443</v>
      </c>
      <c r="E656" t="s">
        <v>2008</v>
      </c>
      <c r="F656">
        <v>17</v>
      </c>
      <c r="G656" t="s">
        <v>2012</v>
      </c>
      <c r="H656" t="s">
        <v>2015</v>
      </c>
      <c r="I656" t="s">
        <v>2022</v>
      </c>
      <c r="J656" t="s">
        <v>2023</v>
      </c>
      <c r="K656">
        <v>76</v>
      </c>
      <c r="L656" t="s">
        <v>2028</v>
      </c>
      <c r="M656" t="s">
        <v>2035</v>
      </c>
      <c r="N656" t="str">
        <f t="shared" si="20"/>
        <v>Pass</v>
      </c>
      <c r="O656" t="str">
        <f t="shared" si="21"/>
        <v>UnderAge</v>
      </c>
      <c r="P656" t="str" cm="1">
        <f t="array" ref="P656">_xlfn.IFS(K656&gt;90,"Excellent",K656&gt;80,"Very Good",K656&gt;70,"Good",K656&gt;=50,"Poor",K656&lt;50,"Fail")</f>
        <v>Good</v>
      </c>
    </row>
    <row r="657" spans="1:16" x14ac:dyDescent="0.25">
      <c r="A657" t="s">
        <v>666</v>
      </c>
      <c r="B657" t="s">
        <v>1665</v>
      </c>
      <c r="C657" t="s">
        <v>2163</v>
      </c>
      <c r="D657" t="s">
        <v>2415</v>
      </c>
      <c r="E657" t="s">
        <v>2008</v>
      </c>
      <c r="F657">
        <v>18</v>
      </c>
      <c r="G657" t="s">
        <v>2010</v>
      </c>
      <c r="H657" t="s">
        <v>2016</v>
      </c>
      <c r="I657" t="s">
        <v>2021</v>
      </c>
      <c r="J657" t="s">
        <v>2024</v>
      </c>
      <c r="K657">
        <v>20</v>
      </c>
      <c r="L657" t="s">
        <v>2025</v>
      </c>
      <c r="M657" t="s">
        <v>2036</v>
      </c>
      <c r="N657" t="str">
        <f t="shared" si="20"/>
        <v>Fail</v>
      </c>
      <c r="O657" t="str">
        <f t="shared" si="21"/>
        <v>Adult</v>
      </c>
      <c r="P657" t="str" cm="1">
        <f t="array" ref="P657">_xlfn.IFS(K657&gt;90,"Excellent",K657&gt;80,"Very Good",K657&gt;70,"Good",K657&gt;=50,"Poor",K657&lt;50,"Fail")</f>
        <v>Fail</v>
      </c>
    </row>
    <row r="658" spans="1:16" x14ac:dyDescent="0.25">
      <c r="A658" t="s">
        <v>667</v>
      </c>
      <c r="B658" t="s">
        <v>1199</v>
      </c>
      <c r="C658" t="s">
        <v>2148</v>
      </c>
      <c r="D658" t="s">
        <v>2415</v>
      </c>
      <c r="E658" t="s">
        <v>2008</v>
      </c>
      <c r="F658">
        <v>15</v>
      </c>
      <c r="G658" t="s">
        <v>2012</v>
      </c>
      <c r="H658" t="s">
        <v>2016</v>
      </c>
      <c r="I658" t="s">
        <v>2020</v>
      </c>
      <c r="J658" t="s">
        <v>2023</v>
      </c>
      <c r="K658">
        <v>94</v>
      </c>
      <c r="L658" t="s">
        <v>2031</v>
      </c>
      <c r="M658" t="s">
        <v>2035</v>
      </c>
      <c r="N658" t="str">
        <f t="shared" si="20"/>
        <v>Pass</v>
      </c>
      <c r="O658" t="str">
        <f t="shared" si="21"/>
        <v>UnderAge</v>
      </c>
      <c r="P658" t="str" cm="1">
        <f t="array" ref="P658">_xlfn.IFS(K658&gt;90,"Excellent",K658&gt;80,"Very Good",K658&gt;70,"Good",K658&gt;=50,"Poor",K658&lt;50,"Fail")</f>
        <v>Excellent</v>
      </c>
    </row>
    <row r="659" spans="1:16" x14ac:dyDescent="0.25">
      <c r="A659" t="s">
        <v>668</v>
      </c>
      <c r="B659" t="s">
        <v>1666</v>
      </c>
      <c r="C659" t="s">
        <v>2207</v>
      </c>
      <c r="D659" t="s">
        <v>2748</v>
      </c>
      <c r="E659" t="s">
        <v>2008</v>
      </c>
      <c r="F659">
        <v>16</v>
      </c>
      <c r="G659" t="s">
        <v>2013</v>
      </c>
      <c r="H659" t="s">
        <v>2014</v>
      </c>
      <c r="I659" t="s">
        <v>2018</v>
      </c>
      <c r="J659" t="s">
        <v>2023</v>
      </c>
      <c r="K659">
        <v>98</v>
      </c>
      <c r="L659" t="s">
        <v>2029</v>
      </c>
      <c r="M659" t="s">
        <v>2035</v>
      </c>
      <c r="N659" t="str">
        <f t="shared" si="20"/>
        <v>Pass</v>
      </c>
      <c r="O659" t="str">
        <f t="shared" si="21"/>
        <v>UnderAge</v>
      </c>
      <c r="P659" t="str" cm="1">
        <f t="array" ref="P659">_xlfn.IFS(K659&gt;90,"Excellent",K659&gt;80,"Very Good",K659&gt;70,"Good",K659&gt;=50,"Poor",K659&lt;50,"Fail")</f>
        <v>Excellent</v>
      </c>
    </row>
    <row r="660" spans="1:16" x14ac:dyDescent="0.25">
      <c r="A660" t="s">
        <v>669</v>
      </c>
      <c r="B660" t="s">
        <v>1667</v>
      </c>
      <c r="C660" t="s">
        <v>2085</v>
      </c>
      <c r="D660" t="s">
        <v>2536</v>
      </c>
      <c r="E660" t="s">
        <v>2007</v>
      </c>
      <c r="F660">
        <v>17</v>
      </c>
      <c r="G660" t="s">
        <v>2013</v>
      </c>
      <c r="H660" t="s">
        <v>2015</v>
      </c>
      <c r="I660" t="s">
        <v>2018</v>
      </c>
      <c r="J660" t="s">
        <v>2024</v>
      </c>
      <c r="K660">
        <v>11</v>
      </c>
      <c r="L660" t="s">
        <v>2032</v>
      </c>
      <c r="M660" t="s">
        <v>2036</v>
      </c>
      <c r="N660" t="str">
        <f t="shared" si="20"/>
        <v>Fail</v>
      </c>
      <c r="O660" t="str">
        <f t="shared" si="21"/>
        <v>UnderAge</v>
      </c>
      <c r="P660" t="str" cm="1">
        <f t="array" ref="P660">_xlfn.IFS(K660&gt;90,"Excellent",K660&gt;80,"Very Good",K660&gt;70,"Good",K660&gt;=50,"Poor",K660&lt;50,"Fail")</f>
        <v>Fail</v>
      </c>
    </row>
    <row r="661" spans="1:16" x14ac:dyDescent="0.25">
      <c r="A661" t="s">
        <v>670</v>
      </c>
      <c r="B661" t="s">
        <v>1668</v>
      </c>
      <c r="C661" t="s">
        <v>2068</v>
      </c>
      <c r="D661" t="s">
        <v>2047</v>
      </c>
      <c r="E661" t="s">
        <v>2008</v>
      </c>
      <c r="F661">
        <v>14</v>
      </c>
      <c r="G661" t="s">
        <v>2009</v>
      </c>
      <c r="H661" t="s">
        <v>2015</v>
      </c>
      <c r="I661" t="s">
        <v>2019</v>
      </c>
      <c r="J661" t="s">
        <v>2024</v>
      </c>
      <c r="K661">
        <v>59</v>
      </c>
      <c r="L661" t="s">
        <v>2029</v>
      </c>
      <c r="M661" t="s">
        <v>2035</v>
      </c>
      <c r="N661" t="str">
        <f t="shared" si="20"/>
        <v>Pass</v>
      </c>
      <c r="O661" t="str">
        <f t="shared" si="21"/>
        <v>UnderAge</v>
      </c>
      <c r="P661" t="str" cm="1">
        <f t="array" ref="P661">_xlfn.IFS(K661&gt;90,"Excellent",K661&gt;80,"Very Good",K661&gt;70,"Good",K661&gt;=50,"Poor",K661&lt;50,"Fail")</f>
        <v>Poor</v>
      </c>
    </row>
    <row r="662" spans="1:16" x14ac:dyDescent="0.25">
      <c r="A662" t="s">
        <v>671</v>
      </c>
      <c r="B662" t="s">
        <v>1669</v>
      </c>
      <c r="C662" t="s">
        <v>2348</v>
      </c>
      <c r="D662" t="s">
        <v>2055</v>
      </c>
      <c r="E662" t="s">
        <v>2007</v>
      </c>
      <c r="F662">
        <v>18</v>
      </c>
      <c r="G662" t="s">
        <v>2010</v>
      </c>
      <c r="H662" t="s">
        <v>2015</v>
      </c>
      <c r="I662" t="s">
        <v>2019</v>
      </c>
      <c r="J662" t="s">
        <v>2023</v>
      </c>
      <c r="K662">
        <v>94</v>
      </c>
      <c r="L662" t="s">
        <v>2031</v>
      </c>
      <c r="M662" t="s">
        <v>2035</v>
      </c>
      <c r="N662" t="str">
        <f t="shared" si="20"/>
        <v>Pass</v>
      </c>
      <c r="O662" t="str">
        <f t="shared" si="21"/>
        <v>Adult</v>
      </c>
      <c r="P662" t="str" cm="1">
        <f t="array" ref="P662">_xlfn.IFS(K662&gt;90,"Excellent",K662&gt;80,"Very Good",K662&gt;70,"Good",K662&gt;=50,"Poor",K662&lt;50,"Fail")</f>
        <v>Excellent</v>
      </c>
    </row>
    <row r="663" spans="1:16" x14ac:dyDescent="0.25">
      <c r="A663" t="s">
        <v>672</v>
      </c>
      <c r="B663" t="s">
        <v>1670</v>
      </c>
      <c r="C663" t="s">
        <v>2097</v>
      </c>
      <c r="D663" t="s">
        <v>2633</v>
      </c>
      <c r="E663" t="s">
        <v>2008</v>
      </c>
      <c r="F663">
        <v>17</v>
      </c>
      <c r="G663" t="s">
        <v>2010</v>
      </c>
      <c r="H663" t="s">
        <v>2015</v>
      </c>
      <c r="I663" t="s">
        <v>2021</v>
      </c>
      <c r="J663" t="s">
        <v>2024</v>
      </c>
      <c r="K663">
        <v>29</v>
      </c>
      <c r="L663" t="s">
        <v>2032</v>
      </c>
      <c r="M663" t="s">
        <v>2036</v>
      </c>
      <c r="N663" t="str">
        <f t="shared" si="20"/>
        <v>Fail</v>
      </c>
      <c r="O663" t="str">
        <f t="shared" si="21"/>
        <v>UnderAge</v>
      </c>
      <c r="P663" t="str" cm="1">
        <f t="array" ref="P663">_xlfn.IFS(K663&gt;90,"Excellent",K663&gt;80,"Very Good",K663&gt;70,"Good",K663&gt;=50,"Poor",K663&lt;50,"Fail")</f>
        <v>Fail</v>
      </c>
    </row>
    <row r="664" spans="1:16" x14ac:dyDescent="0.25">
      <c r="A664" t="s">
        <v>673</v>
      </c>
      <c r="B664" t="s">
        <v>1671</v>
      </c>
      <c r="C664" t="s">
        <v>2187</v>
      </c>
      <c r="D664" t="s">
        <v>2749</v>
      </c>
      <c r="E664" t="s">
        <v>2008</v>
      </c>
      <c r="F664">
        <v>14</v>
      </c>
      <c r="G664" t="s">
        <v>2011</v>
      </c>
      <c r="H664" t="s">
        <v>2015</v>
      </c>
      <c r="I664" t="s">
        <v>2018</v>
      </c>
      <c r="J664" t="s">
        <v>2024</v>
      </c>
      <c r="K664">
        <v>79</v>
      </c>
      <c r="L664" t="s">
        <v>2029</v>
      </c>
      <c r="M664" t="s">
        <v>2035</v>
      </c>
      <c r="N664" t="str">
        <f t="shared" si="20"/>
        <v>Pass</v>
      </c>
      <c r="O664" t="str">
        <f t="shared" si="21"/>
        <v>UnderAge</v>
      </c>
      <c r="P664" t="str" cm="1">
        <f t="array" ref="P664">_xlfn.IFS(K664&gt;90,"Excellent",K664&gt;80,"Very Good",K664&gt;70,"Good",K664&gt;=50,"Poor",K664&lt;50,"Fail")</f>
        <v>Good</v>
      </c>
    </row>
    <row r="665" spans="1:16" x14ac:dyDescent="0.25">
      <c r="A665" t="s">
        <v>674</v>
      </c>
      <c r="B665" t="s">
        <v>1672</v>
      </c>
      <c r="C665" t="s">
        <v>2109</v>
      </c>
      <c r="D665" t="s">
        <v>2750</v>
      </c>
      <c r="E665" t="s">
        <v>2008</v>
      </c>
      <c r="F665">
        <v>14</v>
      </c>
      <c r="G665" t="s">
        <v>2009</v>
      </c>
      <c r="H665" t="s">
        <v>2017</v>
      </c>
      <c r="I665" t="s">
        <v>2021</v>
      </c>
      <c r="J665" t="s">
        <v>2024</v>
      </c>
      <c r="K665">
        <v>19</v>
      </c>
      <c r="L665" t="s">
        <v>2030</v>
      </c>
      <c r="M665" t="s">
        <v>2036</v>
      </c>
      <c r="N665" t="str">
        <f t="shared" si="20"/>
        <v>Fail</v>
      </c>
      <c r="O665" t="str">
        <f t="shared" si="21"/>
        <v>UnderAge</v>
      </c>
      <c r="P665" t="str" cm="1">
        <f t="array" ref="P665">_xlfn.IFS(K665&gt;90,"Excellent",K665&gt;80,"Very Good",K665&gt;70,"Good",K665&gt;=50,"Poor",K665&lt;50,"Fail")</f>
        <v>Fail</v>
      </c>
    </row>
    <row r="666" spans="1:16" x14ac:dyDescent="0.25">
      <c r="A666" t="s">
        <v>675</v>
      </c>
      <c r="B666" t="s">
        <v>1673</v>
      </c>
      <c r="C666" t="s">
        <v>2349</v>
      </c>
      <c r="D666" t="s">
        <v>2474</v>
      </c>
      <c r="E666" t="s">
        <v>2008</v>
      </c>
      <c r="F666">
        <v>16</v>
      </c>
      <c r="G666" t="s">
        <v>2010</v>
      </c>
      <c r="H666" t="s">
        <v>2016</v>
      </c>
      <c r="I666" t="s">
        <v>2021</v>
      </c>
      <c r="J666" t="s">
        <v>2023</v>
      </c>
      <c r="K666">
        <v>5</v>
      </c>
      <c r="L666" t="s">
        <v>2031</v>
      </c>
      <c r="M666" t="s">
        <v>2036</v>
      </c>
      <c r="N666" t="str">
        <f t="shared" si="20"/>
        <v>Fail</v>
      </c>
      <c r="O666" t="str">
        <f t="shared" si="21"/>
        <v>UnderAge</v>
      </c>
      <c r="P666" t="str" cm="1">
        <f t="array" ref="P666">_xlfn.IFS(K666&gt;90,"Excellent",K666&gt;80,"Very Good",K666&gt;70,"Good",K666&gt;=50,"Poor",K666&lt;50,"Fail")</f>
        <v>Fail</v>
      </c>
    </row>
    <row r="667" spans="1:16" x14ac:dyDescent="0.25">
      <c r="A667" t="s">
        <v>676</v>
      </c>
      <c r="B667" t="s">
        <v>1674</v>
      </c>
      <c r="C667" t="s">
        <v>2097</v>
      </c>
      <c r="D667" t="s">
        <v>2483</v>
      </c>
      <c r="E667" t="s">
        <v>2007</v>
      </c>
      <c r="F667">
        <v>15</v>
      </c>
      <c r="G667" t="s">
        <v>2011</v>
      </c>
      <c r="H667" t="s">
        <v>2015</v>
      </c>
      <c r="I667" t="s">
        <v>2018</v>
      </c>
      <c r="J667" t="s">
        <v>2024</v>
      </c>
      <c r="K667">
        <v>23</v>
      </c>
      <c r="L667" t="s">
        <v>2028</v>
      </c>
      <c r="M667" t="s">
        <v>2036</v>
      </c>
      <c r="N667" t="str">
        <f t="shared" si="20"/>
        <v>Fail</v>
      </c>
      <c r="O667" t="str">
        <f t="shared" si="21"/>
        <v>UnderAge</v>
      </c>
      <c r="P667" t="str" cm="1">
        <f t="array" ref="P667">_xlfn.IFS(K667&gt;90,"Excellent",K667&gt;80,"Very Good",K667&gt;70,"Good",K667&gt;=50,"Poor",K667&lt;50,"Fail")</f>
        <v>Fail</v>
      </c>
    </row>
    <row r="668" spans="1:16" x14ac:dyDescent="0.25">
      <c r="A668" t="s">
        <v>677</v>
      </c>
      <c r="B668" t="s">
        <v>1675</v>
      </c>
      <c r="C668" t="s">
        <v>2350</v>
      </c>
      <c r="D668" t="s">
        <v>2751</v>
      </c>
      <c r="E668" t="s">
        <v>2008</v>
      </c>
      <c r="F668">
        <v>14</v>
      </c>
      <c r="G668" t="s">
        <v>2009</v>
      </c>
      <c r="H668" t="s">
        <v>2016</v>
      </c>
      <c r="I668" t="s">
        <v>2022</v>
      </c>
      <c r="J668" t="s">
        <v>2024</v>
      </c>
      <c r="K668">
        <v>22</v>
      </c>
      <c r="L668" t="s">
        <v>2028</v>
      </c>
      <c r="M668" t="s">
        <v>2036</v>
      </c>
      <c r="N668" t="str">
        <f t="shared" si="20"/>
        <v>Fail</v>
      </c>
      <c r="O668" t="str">
        <f t="shared" si="21"/>
        <v>UnderAge</v>
      </c>
      <c r="P668" t="str" cm="1">
        <f t="array" ref="P668">_xlfn.IFS(K668&gt;90,"Excellent",K668&gt;80,"Very Good",K668&gt;70,"Good",K668&gt;=50,"Poor",K668&lt;50,"Fail")</f>
        <v>Fail</v>
      </c>
    </row>
    <row r="669" spans="1:16" x14ac:dyDescent="0.25">
      <c r="A669" t="s">
        <v>678</v>
      </c>
      <c r="B669" t="s">
        <v>1676</v>
      </c>
      <c r="C669" t="s">
        <v>2351</v>
      </c>
      <c r="D669" t="s">
        <v>2638</v>
      </c>
      <c r="E669" t="s">
        <v>2008</v>
      </c>
      <c r="F669">
        <v>16</v>
      </c>
      <c r="G669" t="s">
        <v>2009</v>
      </c>
      <c r="H669" t="s">
        <v>2016</v>
      </c>
      <c r="I669" t="s">
        <v>2020</v>
      </c>
      <c r="J669" t="s">
        <v>2024</v>
      </c>
      <c r="K669">
        <v>99</v>
      </c>
      <c r="L669" t="s">
        <v>2026</v>
      </c>
      <c r="M669" t="s">
        <v>2035</v>
      </c>
      <c r="N669" t="str">
        <f t="shared" si="20"/>
        <v>Pass</v>
      </c>
      <c r="O669" t="str">
        <f t="shared" si="21"/>
        <v>UnderAge</v>
      </c>
      <c r="P669" t="str" cm="1">
        <f t="array" ref="P669">_xlfn.IFS(K669&gt;90,"Excellent",K669&gt;80,"Very Good",K669&gt;70,"Good",K669&gt;=50,"Poor",K669&lt;50,"Fail")</f>
        <v>Excellent</v>
      </c>
    </row>
    <row r="670" spans="1:16" x14ac:dyDescent="0.25">
      <c r="A670" t="s">
        <v>679</v>
      </c>
      <c r="B670" t="s">
        <v>1677</v>
      </c>
      <c r="C670" t="s">
        <v>2076</v>
      </c>
      <c r="D670" t="s">
        <v>2752</v>
      </c>
      <c r="E670" t="s">
        <v>2007</v>
      </c>
      <c r="F670">
        <v>14</v>
      </c>
      <c r="G670" t="s">
        <v>2009</v>
      </c>
      <c r="H670" t="s">
        <v>2017</v>
      </c>
      <c r="I670" t="s">
        <v>2022</v>
      </c>
      <c r="J670" t="s">
        <v>2023</v>
      </c>
      <c r="K670">
        <v>32</v>
      </c>
      <c r="L670" t="s">
        <v>2028</v>
      </c>
      <c r="M670" t="s">
        <v>2036</v>
      </c>
      <c r="N670" t="str">
        <f t="shared" si="20"/>
        <v>Fail</v>
      </c>
      <c r="O670" t="str">
        <f t="shared" si="21"/>
        <v>UnderAge</v>
      </c>
      <c r="P670" t="str" cm="1">
        <f t="array" ref="P670">_xlfn.IFS(K670&gt;90,"Excellent",K670&gt;80,"Very Good",K670&gt;70,"Good",K670&gt;=50,"Poor",K670&lt;50,"Fail")</f>
        <v>Fail</v>
      </c>
    </row>
    <row r="671" spans="1:16" x14ac:dyDescent="0.25">
      <c r="A671" t="s">
        <v>680</v>
      </c>
      <c r="B671" t="s">
        <v>1678</v>
      </c>
      <c r="C671" t="s">
        <v>2267</v>
      </c>
      <c r="D671" t="s">
        <v>2607</v>
      </c>
      <c r="E671" t="s">
        <v>2008</v>
      </c>
      <c r="F671">
        <v>18</v>
      </c>
      <c r="G671" t="s">
        <v>2010</v>
      </c>
      <c r="H671" t="s">
        <v>2017</v>
      </c>
      <c r="I671" t="s">
        <v>2018</v>
      </c>
      <c r="J671" t="s">
        <v>2024</v>
      </c>
      <c r="K671">
        <v>70</v>
      </c>
      <c r="L671" t="s">
        <v>2034</v>
      </c>
      <c r="M671" t="s">
        <v>2035</v>
      </c>
      <c r="N671" t="str">
        <f t="shared" si="20"/>
        <v>Pass</v>
      </c>
      <c r="O671" t="str">
        <f t="shared" si="21"/>
        <v>Adult</v>
      </c>
      <c r="P671" t="str" cm="1">
        <f t="array" ref="P671">_xlfn.IFS(K671&gt;90,"Excellent",K671&gt;80,"Very Good",K671&gt;70,"Good",K671&gt;=50,"Poor",K671&lt;50,"Fail")</f>
        <v>Poor</v>
      </c>
    </row>
    <row r="672" spans="1:16" x14ac:dyDescent="0.25">
      <c r="A672" t="s">
        <v>681</v>
      </c>
      <c r="B672" t="s">
        <v>1679</v>
      </c>
      <c r="C672" t="s">
        <v>2278</v>
      </c>
      <c r="D672" t="s">
        <v>2272</v>
      </c>
      <c r="E672" t="s">
        <v>2008</v>
      </c>
      <c r="F672">
        <v>16</v>
      </c>
      <c r="G672" t="s">
        <v>2011</v>
      </c>
      <c r="H672" t="s">
        <v>2014</v>
      </c>
      <c r="I672" t="s">
        <v>2018</v>
      </c>
      <c r="J672" t="s">
        <v>2024</v>
      </c>
      <c r="K672">
        <v>12</v>
      </c>
      <c r="L672" t="s">
        <v>2031</v>
      </c>
      <c r="M672" t="s">
        <v>2036</v>
      </c>
      <c r="N672" t="str">
        <f t="shared" si="20"/>
        <v>Fail</v>
      </c>
      <c r="O672" t="str">
        <f t="shared" si="21"/>
        <v>UnderAge</v>
      </c>
      <c r="P672" t="str" cm="1">
        <f t="array" ref="P672">_xlfn.IFS(K672&gt;90,"Excellent",K672&gt;80,"Very Good",K672&gt;70,"Good",K672&gt;=50,"Poor",K672&lt;50,"Fail")</f>
        <v>Fail</v>
      </c>
    </row>
    <row r="673" spans="1:16" x14ac:dyDescent="0.25">
      <c r="A673" t="s">
        <v>682</v>
      </c>
      <c r="B673" t="s">
        <v>1680</v>
      </c>
      <c r="C673" t="s">
        <v>2138</v>
      </c>
      <c r="D673" t="s">
        <v>2753</v>
      </c>
      <c r="E673" t="s">
        <v>2008</v>
      </c>
      <c r="F673">
        <v>15</v>
      </c>
      <c r="G673" t="s">
        <v>2013</v>
      </c>
      <c r="H673" t="s">
        <v>2016</v>
      </c>
      <c r="I673" t="s">
        <v>2022</v>
      </c>
      <c r="J673" t="s">
        <v>2023</v>
      </c>
      <c r="K673">
        <v>99</v>
      </c>
      <c r="L673" t="s">
        <v>2033</v>
      </c>
      <c r="M673" t="s">
        <v>2035</v>
      </c>
      <c r="N673" t="str">
        <f t="shared" si="20"/>
        <v>Pass</v>
      </c>
      <c r="O673" t="str">
        <f t="shared" si="21"/>
        <v>UnderAge</v>
      </c>
      <c r="P673" t="str" cm="1">
        <f t="array" ref="P673">_xlfn.IFS(K673&gt;90,"Excellent",K673&gt;80,"Very Good",K673&gt;70,"Good",K673&gt;=50,"Poor",K673&lt;50,"Fail")</f>
        <v>Excellent</v>
      </c>
    </row>
    <row r="674" spans="1:16" x14ac:dyDescent="0.25">
      <c r="A674" t="s">
        <v>683</v>
      </c>
      <c r="B674" t="s">
        <v>1681</v>
      </c>
      <c r="C674" t="s">
        <v>2065</v>
      </c>
      <c r="D674" t="s">
        <v>2564</v>
      </c>
      <c r="E674" t="s">
        <v>2007</v>
      </c>
      <c r="F674">
        <v>14</v>
      </c>
      <c r="G674" t="s">
        <v>2009</v>
      </c>
      <c r="H674" t="s">
        <v>2016</v>
      </c>
      <c r="I674" t="s">
        <v>2021</v>
      </c>
      <c r="J674" t="s">
        <v>2024</v>
      </c>
      <c r="K674">
        <v>96</v>
      </c>
      <c r="L674" t="s">
        <v>2034</v>
      </c>
      <c r="M674" t="s">
        <v>2035</v>
      </c>
      <c r="N674" t="str">
        <f t="shared" si="20"/>
        <v>Pass</v>
      </c>
      <c r="O674" t="str">
        <f t="shared" si="21"/>
        <v>UnderAge</v>
      </c>
      <c r="P674" t="str" cm="1">
        <f t="array" ref="P674">_xlfn.IFS(K674&gt;90,"Excellent",K674&gt;80,"Very Good",K674&gt;70,"Good",K674&gt;=50,"Poor",K674&lt;50,"Fail")</f>
        <v>Excellent</v>
      </c>
    </row>
    <row r="675" spans="1:16" x14ac:dyDescent="0.25">
      <c r="A675" t="s">
        <v>684</v>
      </c>
      <c r="B675" t="s">
        <v>1682</v>
      </c>
      <c r="C675" t="s">
        <v>2308</v>
      </c>
      <c r="D675" t="s">
        <v>2647</v>
      </c>
      <c r="E675" t="s">
        <v>2007</v>
      </c>
      <c r="F675">
        <v>18</v>
      </c>
      <c r="G675" t="s">
        <v>2011</v>
      </c>
      <c r="H675" t="s">
        <v>2017</v>
      </c>
      <c r="I675" t="s">
        <v>2018</v>
      </c>
      <c r="J675" t="s">
        <v>2023</v>
      </c>
      <c r="K675">
        <v>100</v>
      </c>
      <c r="L675" t="s">
        <v>2030</v>
      </c>
      <c r="M675" t="s">
        <v>2035</v>
      </c>
      <c r="N675" t="str">
        <f t="shared" si="20"/>
        <v>Pass</v>
      </c>
      <c r="O675" t="str">
        <f t="shared" si="21"/>
        <v>Adult</v>
      </c>
      <c r="P675" t="str" cm="1">
        <f t="array" ref="P675">_xlfn.IFS(K675&gt;90,"Excellent",K675&gt;80,"Very Good",K675&gt;70,"Good",K675&gt;=50,"Poor",K675&lt;50,"Fail")</f>
        <v>Excellent</v>
      </c>
    </row>
    <row r="676" spans="1:16" x14ac:dyDescent="0.25">
      <c r="A676" t="s">
        <v>685</v>
      </c>
      <c r="B676" t="s">
        <v>1683</v>
      </c>
      <c r="C676" t="s">
        <v>2088</v>
      </c>
      <c r="D676" t="s">
        <v>2736</v>
      </c>
      <c r="E676" t="s">
        <v>2007</v>
      </c>
      <c r="F676">
        <v>14</v>
      </c>
      <c r="G676" t="s">
        <v>2013</v>
      </c>
      <c r="H676" t="s">
        <v>2016</v>
      </c>
      <c r="I676" t="s">
        <v>2018</v>
      </c>
      <c r="J676" t="s">
        <v>2023</v>
      </c>
      <c r="K676">
        <v>51</v>
      </c>
      <c r="L676" t="s">
        <v>2030</v>
      </c>
      <c r="M676" t="s">
        <v>2035</v>
      </c>
      <c r="N676" t="str">
        <f t="shared" si="20"/>
        <v>Pass</v>
      </c>
      <c r="O676" t="str">
        <f t="shared" si="21"/>
        <v>UnderAge</v>
      </c>
      <c r="P676" t="str" cm="1">
        <f t="array" ref="P676">_xlfn.IFS(K676&gt;90,"Excellent",K676&gt;80,"Very Good",K676&gt;70,"Good",K676&gt;=50,"Poor",K676&lt;50,"Fail")</f>
        <v>Poor</v>
      </c>
    </row>
    <row r="677" spans="1:16" x14ac:dyDescent="0.25">
      <c r="A677" t="s">
        <v>686</v>
      </c>
      <c r="B677" t="s">
        <v>1684</v>
      </c>
      <c r="C677" t="s">
        <v>2197</v>
      </c>
      <c r="D677" t="s">
        <v>2652</v>
      </c>
      <c r="E677" t="s">
        <v>2008</v>
      </c>
      <c r="F677">
        <v>16</v>
      </c>
      <c r="G677" t="s">
        <v>2009</v>
      </c>
      <c r="H677" t="s">
        <v>2016</v>
      </c>
      <c r="I677" t="s">
        <v>2020</v>
      </c>
      <c r="J677" t="s">
        <v>2024</v>
      </c>
      <c r="K677">
        <v>58</v>
      </c>
      <c r="L677" t="s">
        <v>2025</v>
      </c>
      <c r="M677" t="s">
        <v>2035</v>
      </c>
      <c r="N677" t="str">
        <f t="shared" si="20"/>
        <v>Pass</v>
      </c>
      <c r="O677" t="str">
        <f t="shared" si="21"/>
        <v>UnderAge</v>
      </c>
      <c r="P677" t="str" cm="1">
        <f t="array" ref="P677">_xlfn.IFS(K677&gt;90,"Excellent",K677&gt;80,"Very Good",K677&gt;70,"Good",K677&gt;=50,"Poor",K677&lt;50,"Fail")</f>
        <v>Poor</v>
      </c>
    </row>
    <row r="678" spans="1:16" x14ac:dyDescent="0.25">
      <c r="A678" t="s">
        <v>687</v>
      </c>
      <c r="B678" t="s">
        <v>1685</v>
      </c>
      <c r="C678" t="s">
        <v>2208</v>
      </c>
      <c r="D678" t="s">
        <v>2450</v>
      </c>
      <c r="E678" t="s">
        <v>2008</v>
      </c>
      <c r="F678">
        <v>17</v>
      </c>
      <c r="G678" t="s">
        <v>2012</v>
      </c>
      <c r="H678" t="s">
        <v>2015</v>
      </c>
      <c r="I678" t="s">
        <v>2020</v>
      </c>
      <c r="J678" t="s">
        <v>2023</v>
      </c>
      <c r="K678">
        <v>20</v>
      </c>
      <c r="L678" t="s">
        <v>2025</v>
      </c>
      <c r="M678" t="s">
        <v>2036</v>
      </c>
      <c r="N678" t="str">
        <f t="shared" si="20"/>
        <v>Fail</v>
      </c>
      <c r="O678" t="str">
        <f t="shared" si="21"/>
        <v>UnderAge</v>
      </c>
      <c r="P678" t="str" cm="1">
        <f t="array" ref="P678">_xlfn.IFS(K678&gt;90,"Excellent",K678&gt;80,"Very Good",K678&gt;70,"Good",K678&gt;=50,"Poor",K678&lt;50,"Fail")</f>
        <v>Fail</v>
      </c>
    </row>
    <row r="679" spans="1:16" x14ac:dyDescent="0.25">
      <c r="A679" t="s">
        <v>688</v>
      </c>
      <c r="B679" t="s">
        <v>1686</v>
      </c>
      <c r="C679" t="s">
        <v>2352</v>
      </c>
      <c r="D679" t="s">
        <v>2754</v>
      </c>
      <c r="E679" t="s">
        <v>2008</v>
      </c>
      <c r="F679">
        <v>18</v>
      </c>
      <c r="G679" t="s">
        <v>2011</v>
      </c>
      <c r="H679" t="s">
        <v>2015</v>
      </c>
      <c r="I679" t="s">
        <v>2019</v>
      </c>
      <c r="J679" t="s">
        <v>2024</v>
      </c>
      <c r="K679">
        <v>100</v>
      </c>
      <c r="L679" t="s">
        <v>2031</v>
      </c>
      <c r="M679" t="s">
        <v>2035</v>
      </c>
      <c r="N679" t="str">
        <f t="shared" si="20"/>
        <v>Pass</v>
      </c>
      <c r="O679" t="str">
        <f t="shared" si="21"/>
        <v>Adult</v>
      </c>
      <c r="P679" t="str" cm="1">
        <f t="array" ref="P679">_xlfn.IFS(K679&gt;90,"Excellent",K679&gt;80,"Very Good",K679&gt;70,"Good",K679&gt;=50,"Poor",K679&lt;50,"Fail")</f>
        <v>Excellent</v>
      </c>
    </row>
    <row r="680" spans="1:16" x14ac:dyDescent="0.25">
      <c r="A680" t="s">
        <v>689</v>
      </c>
      <c r="B680" t="s">
        <v>1687</v>
      </c>
      <c r="C680" t="s">
        <v>2353</v>
      </c>
      <c r="D680" t="s">
        <v>2686</v>
      </c>
      <c r="E680" t="s">
        <v>2007</v>
      </c>
      <c r="F680">
        <v>16</v>
      </c>
      <c r="G680" t="s">
        <v>2009</v>
      </c>
      <c r="H680" t="s">
        <v>2014</v>
      </c>
      <c r="I680" t="s">
        <v>2022</v>
      </c>
      <c r="J680" t="s">
        <v>2023</v>
      </c>
      <c r="K680">
        <v>47</v>
      </c>
      <c r="L680" t="s">
        <v>2032</v>
      </c>
      <c r="M680" t="s">
        <v>2036</v>
      </c>
      <c r="N680" t="str">
        <f t="shared" si="20"/>
        <v>Fail</v>
      </c>
      <c r="O680" t="str">
        <f t="shared" si="21"/>
        <v>UnderAge</v>
      </c>
      <c r="P680" t="str" cm="1">
        <f t="array" ref="P680">_xlfn.IFS(K680&gt;90,"Excellent",K680&gt;80,"Very Good",K680&gt;70,"Good",K680&gt;=50,"Poor",K680&lt;50,"Fail")</f>
        <v>Fail</v>
      </c>
    </row>
    <row r="681" spans="1:16" x14ac:dyDescent="0.25">
      <c r="A681" t="s">
        <v>690</v>
      </c>
      <c r="B681" t="s">
        <v>1688</v>
      </c>
      <c r="C681" t="s">
        <v>2109</v>
      </c>
      <c r="D681" t="s">
        <v>2692</v>
      </c>
      <c r="E681" t="s">
        <v>2008</v>
      </c>
      <c r="F681">
        <v>18</v>
      </c>
      <c r="G681" t="s">
        <v>2011</v>
      </c>
      <c r="H681" t="s">
        <v>2014</v>
      </c>
      <c r="I681" t="s">
        <v>2021</v>
      </c>
      <c r="J681" t="s">
        <v>2023</v>
      </c>
      <c r="K681">
        <v>35</v>
      </c>
      <c r="L681" t="s">
        <v>2031</v>
      </c>
      <c r="M681" t="s">
        <v>2036</v>
      </c>
      <c r="N681" t="str">
        <f t="shared" si="20"/>
        <v>Fail</v>
      </c>
      <c r="O681" t="str">
        <f t="shared" si="21"/>
        <v>Adult</v>
      </c>
      <c r="P681" t="str" cm="1">
        <f t="array" ref="P681">_xlfn.IFS(K681&gt;90,"Excellent",K681&gt;80,"Very Good",K681&gt;70,"Good",K681&gt;=50,"Poor",K681&lt;50,"Fail")</f>
        <v>Fail</v>
      </c>
    </row>
    <row r="682" spans="1:16" x14ac:dyDescent="0.25">
      <c r="A682" t="s">
        <v>691</v>
      </c>
      <c r="B682" t="s">
        <v>1689</v>
      </c>
      <c r="C682" t="s">
        <v>2076</v>
      </c>
      <c r="D682" t="s">
        <v>2755</v>
      </c>
      <c r="E682" t="s">
        <v>2008</v>
      </c>
      <c r="F682">
        <v>16</v>
      </c>
      <c r="G682" t="s">
        <v>2013</v>
      </c>
      <c r="H682" t="s">
        <v>2016</v>
      </c>
      <c r="I682" t="s">
        <v>2019</v>
      </c>
      <c r="J682" t="s">
        <v>2023</v>
      </c>
      <c r="K682">
        <v>80</v>
      </c>
      <c r="L682" t="s">
        <v>2031</v>
      </c>
      <c r="M682" t="s">
        <v>2035</v>
      </c>
      <c r="N682" t="str">
        <f t="shared" si="20"/>
        <v>Pass</v>
      </c>
      <c r="O682" t="str">
        <f t="shared" si="21"/>
        <v>UnderAge</v>
      </c>
      <c r="P682" t="str" cm="1">
        <f t="array" ref="P682">_xlfn.IFS(K682&gt;90,"Excellent",K682&gt;80,"Very Good",K682&gt;70,"Good",K682&gt;=50,"Poor",K682&lt;50,"Fail")</f>
        <v>Good</v>
      </c>
    </row>
    <row r="683" spans="1:16" x14ac:dyDescent="0.25">
      <c r="A683" t="s">
        <v>692</v>
      </c>
      <c r="B683" t="s">
        <v>1690</v>
      </c>
      <c r="C683" t="s">
        <v>2306</v>
      </c>
      <c r="D683" t="s">
        <v>2602</v>
      </c>
      <c r="E683" t="s">
        <v>2007</v>
      </c>
      <c r="F683">
        <v>15</v>
      </c>
      <c r="G683" t="s">
        <v>2011</v>
      </c>
      <c r="H683" t="s">
        <v>2015</v>
      </c>
      <c r="I683" t="s">
        <v>2020</v>
      </c>
      <c r="J683" t="s">
        <v>2024</v>
      </c>
      <c r="K683">
        <v>30</v>
      </c>
      <c r="L683" t="s">
        <v>2026</v>
      </c>
      <c r="M683" t="s">
        <v>2036</v>
      </c>
      <c r="N683" t="str">
        <f t="shared" si="20"/>
        <v>Fail</v>
      </c>
      <c r="O683" t="str">
        <f t="shared" si="21"/>
        <v>UnderAge</v>
      </c>
      <c r="P683" t="str" cm="1">
        <f t="array" ref="P683">_xlfn.IFS(K683&gt;90,"Excellent",K683&gt;80,"Very Good",K683&gt;70,"Good",K683&gt;=50,"Poor",K683&lt;50,"Fail")</f>
        <v>Fail</v>
      </c>
    </row>
    <row r="684" spans="1:16" x14ac:dyDescent="0.25">
      <c r="A684" t="s">
        <v>693</v>
      </c>
      <c r="B684" t="s">
        <v>1691</v>
      </c>
      <c r="C684" t="s">
        <v>2282</v>
      </c>
      <c r="D684" t="s">
        <v>2756</v>
      </c>
      <c r="E684" t="s">
        <v>2008</v>
      </c>
      <c r="F684">
        <v>15</v>
      </c>
      <c r="G684" t="s">
        <v>2010</v>
      </c>
      <c r="H684" t="s">
        <v>2017</v>
      </c>
      <c r="I684" t="s">
        <v>2020</v>
      </c>
      <c r="J684" t="s">
        <v>2024</v>
      </c>
      <c r="K684">
        <v>14</v>
      </c>
      <c r="L684" t="s">
        <v>2030</v>
      </c>
      <c r="M684" t="s">
        <v>2036</v>
      </c>
      <c r="N684" t="str">
        <f t="shared" si="20"/>
        <v>Fail</v>
      </c>
      <c r="O684" t="str">
        <f t="shared" si="21"/>
        <v>UnderAge</v>
      </c>
      <c r="P684" t="str" cm="1">
        <f t="array" ref="P684">_xlfn.IFS(K684&gt;90,"Excellent",K684&gt;80,"Very Good",K684&gt;70,"Good",K684&gt;=50,"Poor",K684&lt;50,"Fail")</f>
        <v>Fail</v>
      </c>
    </row>
    <row r="685" spans="1:16" x14ac:dyDescent="0.25">
      <c r="A685" t="s">
        <v>694</v>
      </c>
      <c r="B685" t="s">
        <v>1692</v>
      </c>
      <c r="C685" t="s">
        <v>2354</v>
      </c>
      <c r="D685" t="s">
        <v>2597</v>
      </c>
      <c r="E685" t="s">
        <v>2008</v>
      </c>
      <c r="F685">
        <v>16</v>
      </c>
      <c r="G685" t="s">
        <v>2009</v>
      </c>
      <c r="H685" t="s">
        <v>2016</v>
      </c>
      <c r="I685" t="s">
        <v>2022</v>
      </c>
      <c r="J685" t="s">
        <v>2024</v>
      </c>
      <c r="K685">
        <v>33</v>
      </c>
      <c r="L685" t="s">
        <v>2029</v>
      </c>
      <c r="M685" t="s">
        <v>2036</v>
      </c>
      <c r="N685" t="str">
        <f t="shared" si="20"/>
        <v>Fail</v>
      </c>
      <c r="O685" t="str">
        <f t="shared" si="21"/>
        <v>UnderAge</v>
      </c>
      <c r="P685" t="str" cm="1">
        <f t="array" ref="P685">_xlfn.IFS(K685&gt;90,"Excellent",K685&gt;80,"Very Good",K685&gt;70,"Good",K685&gt;=50,"Poor",K685&lt;50,"Fail")</f>
        <v>Fail</v>
      </c>
    </row>
    <row r="686" spans="1:16" x14ac:dyDescent="0.25">
      <c r="A686" t="s">
        <v>695</v>
      </c>
      <c r="B686" t="s">
        <v>1693</v>
      </c>
      <c r="C686" t="s">
        <v>2091</v>
      </c>
      <c r="D686" t="s">
        <v>2757</v>
      </c>
      <c r="E686" t="s">
        <v>2008</v>
      </c>
      <c r="F686">
        <v>14</v>
      </c>
      <c r="G686" t="s">
        <v>2011</v>
      </c>
      <c r="H686" t="s">
        <v>2017</v>
      </c>
      <c r="I686" t="s">
        <v>2022</v>
      </c>
      <c r="J686" t="s">
        <v>2024</v>
      </c>
      <c r="K686">
        <v>66</v>
      </c>
      <c r="L686" t="s">
        <v>2031</v>
      </c>
      <c r="M686" t="s">
        <v>2035</v>
      </c>
      <c r="N686" t="str">
        <f t="shared" si="20"/>
        <v>Pass</v>
      </c>
      <c r="O686" t="str">
        <f t="shared" si="21"/>
        <v>UnderAge</v>
      </c>
      <c r="P686" t="str" cm="1">
        <f t="array" ref="P686">_xlfn.IFS(K686&gt;90,"Excellent",K686&gt;80,"Very Good",K686&gt;70,"Good",K686&gt;=50,"Poor",K686&lt;50,"Fail")</f>
        <v>Poor</v>
      </c>
    </row>
    <row r="687" spans="1:16" x14ac:dyDescent="0.25">
      <c r="A687" t="s">
        <v>696</v>
      </c>
      <c r="B687" t="s">
        <v>1694</v>
      </c>
      <c r="C687" t="s">
        <v>2197</v>
      </c>
      <c r="D687" t="s">
        <v>2758</v>
      </c>
      <c r="E687" t="s">
        <v>2008</v>
      </c>
      <c r="F687">
        <v>18</v>
      </c>
      <c r="G687" t="s">
        <v>2013</v>
      </c>
      <c r="H687" t="s">
        <v>2016</v>
      </c>
      <c r="I687" t="s">
        <v>2019</v>
      </c>
      <c r="J687" t="s">
        <v>2023</v>
      </c>
      <c r="K687">
        <v>89</v>
      </c>
      <c r="L687" t="s">
        <v>2031</v>
      </c>
      <c r="M687" t="s">
        <v>2035</v>
      </c>
      <c r="N687" t="str">
        <f t="shared" si="20"/>
        <v>Pass</v>
      </c>
      <c r="O687" t="str">
        <f t="shared" si="21"/>
        <v>Adult</v>
      </c>
      <c r="P687" t="str" cm="1">
        <f t="array" ref="P687">_xlfn.IFS(K687&gt;90,"Excellent",K687&gt;80,"Very Good",K687&gt;70,"Good",K687&gt;=50,"Poor",K687&lt;50,"Fail")</f>
        <v>Very Good</v>
      </c>
    </row>
    <row r="688" spans="1:16" x14ac:dyDescent="0.25">
      <c r="A688" t="s">
        <v>697</v>
      </c>
      <c r="B688" t="s">
        <v>1695</v>
      </c>
      <c r="C688" t="s">
        <v>2279</v>
      </c>
      <c r="D688" t="s">
        <v>2759</v>
      </c>
      <c r="E688" t="s">
        <v>2008</v>
      </c>
      <c r="F688">
        <v>15</v>
      </c>
      <c r="G688" t="s">
        <v>2011</v>
      </c>
      <c r="H688" t="s">
        <v>2016</v>
      </c>
      <c r="I688" t="s">
        <v>2020</v>
      </c>
      <c r="J688" t="s">
        <v>2024</v>
      </c>
      <c r="K688">
        <v>16</v>
      </c>
      <c r="L688" t="s">
        <v>2032</v>
      </c>
      <c r="M688" t="s">
        <v>2036</v>
      </c>
      <c r="N688" t="str">
        <f t="shared" si="20"/>
        <v>Fail</v>
      </c>
      <c r="O688" t="str">
        <f t="shared" si="21"/>
        <v>UnderAge</v>
      </c>
      <c r="P688" t="str" cm="1">
        <f t="array" ref="P688">_xlfn.IFS(K688&gt;90,"Excellent",K688&gt;80,"Very Good",K688&gt;70,"Good",K688&gt;=50,"Poor",K688&lt;50,"Fail")</f>
        <v>Fail</v>
      </c>
    </row>
    <row r="689" spans="1:16" x14ac:dyDescent="0.25">
      <c r="A689" t="s">
        <v>698</v>
      </c>
      <c r="B689" t="s">
        <v>1696</v>
      </c>
      <c r="C689" t="s">
        <v>2097</v>
      </c>
      <c r="D689" t="s">
        <v>2474</v>
      </c>
      <c r="E689" t="s">
        <v>2008</v>
      </c>
      <c r="F689">
        <v>18</v>
      </c>
      <c r="G689" t="s">
        <v>2012</v>
      </c>
      <c r="H689" t="s">
        <v>2017</v>
      </c>
      <c r="I689" t="s">
        <v>2019</v>
      </c>
      <c r="J689" t="s">
        <v>2024</v>
      </c>
      <c r="K689">
        <v>6</v>
      </c>
      <c r="L689" t="s">
        <v>2030</v>
      </c>
      <c r="M689" t="s">
        <v>2036</v>
      </c>
      <c r="N689" t="str">
        <f t="shared" si="20"/>
        <v>Fail</v>
      </c>
      <c r="O689" t="str">
        <f t="shared" si="21"/>
        <v>Adult</v>
      </c>
      <c r="P689" t="str" cm="1">
        <f t="array" ref="P689">_xlfn.IFS(K689&gt;90,"Excellent",K689&gt;80,"Very Good",K689&gt;70,"Good",K689&gt;=50,"Poor",K689&lt;50,"Fail")</f>
        <v>Fail</v>
      </c>
    </row>
    <row r="690" spans="1:16" x14ac:dyDescent="0.25">
      <c r="A690" t="s">
        <v>699</v>
      </c>
      <c r="B690" t="s">
        <v>1697</v>
      </c>
      <c r="C690" t="s">
        <v>2323</v>
      </c>
      <c r="D690" t="s">
        <v>2760</v>
      </c>
      <c r="E690" t="s">
        <v>2008</v>
      </c>
      <c r="F690">
        <v>16</v>
      </c>
      <c r="G690" t="s">
        <v>2011</v>
      </c>
      <c r="H690" t="s">
        <v>2016</v>
      </c>
      <c r="I690" t="s">
        <v>2020</v>
      </c>
      <c r="J690" t="s">
        <v>2023</v>
      </c>
      <c r="K690">
        <v>65</v>
      </c>
      <c r="L690" t="s">
        <v>2029</v>
      </c>
      <c r="M690" t="s">
        <v>2035</v>
      </c>
      <c r="N690" t="str">
        <f t="shared" si="20"/>
        <v>Pass</v>
      </c>
      <c r="O690" t="str">
        <f t="shared" si="21"/>
        <v>UnderAge</v>
      </c>
      <c r="P690" t="str" cm="1">
        <f t="array" ref="P690">_xlfn.IFS(K690&gt;90,"Excellent",K690&gt;80,"Very Good",K690&gt;70,"Good",K690&gt;=50,"Poor",K690&lt;50,"Fail")</f>
        <v>Poor</v>
      </c>
    </row>
    <row r="691" spans="1:16" x14ac:dyDescent="0.25">
      <c r="A691" t="s">
        <v>700</v>
      </c>
      <c r="B691" t="s">
        <v>1698</v>
      </c>
      <c r="C691" t="s">
        <v>2122</v>
      </c>
      <c r="D691" t="s">
        <v>2453</v>
      </c>
      <c r="E691" t="s">
        <v>2007</v>
      </c>
      <c r="F691">
        <v>14</v>
      </c>
      <c r="G691" t="s">
        <v>2012</v>
      </c>
      <c r="H691" t="s">
        <v>2016</v>
      </c>
      <c r="I691" t="s">
        <v>2022</v>
      </c>
      <c r="J691" t="s">
        <v>2023</v>
      </c>
      <c r="K691">
        <v>80</v>
      </c>
      <c r="L691" t="s">
        <v>2030</v>
      </c>
      <c r="M691" t="s">
        <v>2035</v>
      </c>
      <c r="N691" t="str">
        <f t="shared" si="20"/>
        <v>Pass</v>
      </c>
      <c r="O691" t="str">
        <f t="shared" si="21"/>
        <v>UnderAge</v>
      </c>
      <c r="P691" t="str" cm="1">
        <f t="array" ref="P691">_xlfn.IFS(K691&gt;90,"Excellent",K691&gt;80,"Very Good",K691&gt;70,"Good",K691&gt;=50,"Poor",K691&lt;50,"Fail")</f>
        <v>Good</v>
      </c>
    </row>
    <row r="692" spans="1:16" x14ac:dyDescent="0.25">
      <c r="A692" t="s">
        <v>701</v>
      </c>
      <c r="B692" t="s">
        <v>1699</v>
      </c>
      <c r="C692" t="s">
        <v>2159</v>
      </c>
      <c r="D692" t="s">
        <v>2627</v>
      </c>
      <c r="E692" t="s">
        <v>2007</v>
      </c>
      <c r="F692">
        <v>17</v>
      </c>
      <c r="G692" t="s">
        <v>2013</v>
      </c>
      <c r="H692" t="s">
        <v>2015</v>
      </c>
      <c r="I692" t="s">
        <v>2022</v>
      </c>
      <c r="J692" t="s">
        <v>2024</v>
      </c>
      <c r="K692">
        <v>14</v>
      </c>
      <c r="L692" t="s">
        <v>2029</v>
      </c>
      <c r="M692" t="s">
        <v>2036</v>
      </c>
      <c r="N692" t="str">
        <f t="shared" si="20"/>
        <v>Fail</v>
      </c>
      <c r="O692" t="str">
        <f t="shared" si="21"/>
        <v>UnderAge</v>
      </c>
      <c r="P692" t="str" cm="1">
        <f t="array" ref="P692">_xlfn.IFS(K692&gt;90,"Excellent",K692&gt;80,"Very Good",K692&gt;70,"Good",K692&gt;=50,"Poor",K692&lt;50,"Fail")</f>
        <v>Fail</v>
      </c>
    </row>
    <row r="693" spans="1:16" x14ac:dyDescent="0.25">
      <c r="A693" t="s">
        <v>702</v>
      </c>
      <c r="B693" t="s">
        <v>1700</v>
      </c>
      <c r="C693" t="s">
        <v>2355</v>
      </c>
      <c r="D693" t="s">
        <v>2732</v>
      </c>
      <c r="E693" t="s">
        <v>2007</v>
      </c>
      <c r="F693">
        <v>17</v>
      </c>
      <c r="G693" t="s">
        <v>2012</v>
      </c>
      <c r="H693" t="s">
        <v>2015</v>
      </c>
      <c r="I693" t="s">
        <v>2021</v>
      </c>
      <c r="J693" t="s">
        <v>2023</v>
      </c>
      <c r="K693">
        <v>42</v>
      </c>
      <c r="L693" t="s">
        <v>2030</v>
      </c>
      <c r="M693" t="s">
        <v>2036</v>
      </c>
      <c r="N693" t="str">
        <f t="shared" si="20"/>
        <v>Fail</v>
      </c>
      <c r="O693" t="str">
        <f t="shared" si="21"/>
        <v>UnderAge</v>
      </c>
      <c r="P693" t="str" cm="1">
        <f t="array" ref="P693">_xlfn.IFS(K693&gt;90,"Excellent",K693&gt;80,"Very Good",K693&gt;70,"Good",K693&gt;=50,"Poor",K693&lt;50,"Fail")</f>
        <v>Fail</v>
      </c>
    </row>
    <row r="694" spans="1:16" x14ac:dyDescent="0.25">
      <c r="A694" t="s">
        <v>703</v>
      </c>
      <c r="B694" t="s">
        <v>1701</v>
      </c>
      <c r="C694" t="s">
        <v>2356</v>
      </c>
      <c r="D694" t="s">
        <v>2761</v>
      </c>
      <c r="E694" t="s">
        <v>2007</v>
      </c>
      <c r="F694">
        <v>14</v>
      </c>
      <c r="G694" t="s">
        <v>2009</v>
      </c>
      <c r="H694" t="s">
        <v>2014</v>
      </c>
      <c r="I694" t="s">
        <v>2020</v>
      </c>
      <c r="J694" t="s">
        <v>2024</v>
      </c>
      <c r="K694">
        <v>44</v>
      </c>
      <c r="L694" t="s">
        <v>2027</v>
      </c>
      <c r="M694" t="s">
        <v>2036</v>
      </c>
      <c r="N694" t="str">
        <f t="shared" si="20"/>
        <v>Fail</v>
      </c>
      <c r="O694" t="str">
        <f t="shared" si="21"/>
        <v>UnderAge</v>
      </c>
      <c r="P694" t="str" cm="1">
        <f t="array" ref="P694">_xlfn.IFS(K694&gt;90,"Excellent",K694&gt;80,"Very Good",K694&gt;70,"Good",K694&gt;=50,"Poor",K694&lt;50,"Fail")</f>
        <v>Fail</v>
      </c>
    </row>
    <row r="695" spans="1:16" x14ac:dyDescent="0.25">
      <c r="A695" t="s">
        <v>704</v>
      </c>
      <c r="B695" t="s">
        <v>1702</v>
      </c>
      <c r="C695" t="s">
        <v>2068</v>
      </c>
      <c r="D695" t="s">
        <v>2595</v>
      </c>
      <c r="E695" t="s">
        <v>2007</v>
      </c>
      <c r="F695">
        <v>15</v>
      </c>
      <c r="G695" t="s">
        <v>2011</v>
      </c>
      <c r="H695" t="s">
        <v>2016</v>
      </c>
      <c r="I695" t="s">
        <v>2018</v>
      </c>
      <c r="J695" t="s">
        <v>2024</v>
      </c>
      <c r="K695">
        <v>48</v>
      </c>
      <c r="L695" t="s">
        <v>2028</v>
      </c>
      <c r="M695" t="s">
        <v>2036</v>
      </c>
      <c r="N695" t="str">
        <f t="shared" si="20"/>
        <v>Fail</v>
      </c>
      <c r="O695" t="str">
        <f t="shared" si="21"/>
        <v>UnderAge</v>
      </c>
      <c r="P695" t="str" cm="1">
        <f t="array" ref="P695">_xlfn.IFS(K695&gt;90,"Excellent",K695&gt;80,"Very Good",K695&gt;70,"Good",K695&gt;=50,"Poor",K695&lt;50,"Fail")</f>
        <v>Fail</v>
      </c>
    </row>
    <row r="696" spans="1:16" x14ac:dyDescent="0.25">
      <c r="A696" t="s">
        <v>705</v>
      </c>
      <c r="B696" t="s">
        <v>1703</v>
      </c>
      <c r="C696" t="s">
        <v>2103</v>
      </c>
      <c r="D696" t="s">
        <v>2762</v>
      </c>
      <c r="E696" t="s">
        <v>2007</v>
      </c>
      <c r="F696">
        <v>18</v>
      </c>
      <c r="G696" t="s">
        <v>2013</v>
      </c>
      <c r="H696" t="s">
        <v>2014</v>
      </c>
      <c r="I696" t="s">
        <v>2019</v>
      </c>
      <c r="J696" t="s">
        <v>2024</v>
      </c>
      <c r="K696">
        <v>68</v>
      </c>
      <c r="L696" t="s">
        <v>2028</v>
      </c>
      <c r="M696" t="s">
        <v>2035</v>
      </c>
      <c r="N696" t="str">
        <f t="shared" si="20"/>
        <v>Pass</v>
      </c>
      <c r="O696" t="str">
        <f t="shared" si="21"/>
        <v>Adult</v>
      </c>
      <c r="P696" t="str" cm="1">
        <f t="array" ref="P696">_xlfn.IFS(K696&gt;90,"Excellent",K696&gt;80,"Very Good",K696&gt;70,"Good",K696&gt;=50,"Poor",K696&lt;50,"Fail")</f>
        <v>Poor</v>
      </c>
    </row>
    <row r="697" spans="1:16" x14ac:dyDescent="0.25">
      <c r="A697" t="s">
        <v>706</v>
      </c>
      <c r="B697" t="s">
        <v>1704</v>
      </c>
      <c r="C697" t="s">
        <v>2165</v>
      </c>
      <c r="D697" t="s">
        <v>2763</v>
      </c>
      <c r="E697" t="s">
        <v>2008</v>
      </c>
      <c r="F697">
        <v>16</v>
      </c>
      <c r="G697" t="s">
        <v>2009</v>
      </c>
      <c r="H697" t="s">
        <v>2016</v>
      </c>
      <c r="I697" t="s">
        <v>2020</v>
      </c>
      <c r="J697" t="s">
        <v>2023</v>
      </c>
      <c r="K697">
        <v>11</v>
      </c>
      <c r="L697" t="s">
        <v>2033</v>
      </c>
      <c r="M697" t="s">
        <v>2036</v>
      </c>
      <c r="N697" t="str">
        <f t="shared" si="20"/>
        <v>Fail</v>
      </c>
      <c r="O697" t="str">
        <f t="shared" si="21"/>
        <v>UnderAge</v>
      </c>
      <c r="P697" t="str" cm="1">
        <f t="array" ref="P697">_xlfn.IFS(K697&gt;90,"Excellent",K697&gt;80,"Very Good",K697&gt;70,"Good",K697&gt;=50,"Poor",K697&lt;50,"Fail")</f>
        <v>Fail</v>
      </c>
    </row>
    <row r="698" spans="1:16" x14ac:dyDescent="0.25">
      <c r="A698" t="s">
        <v>707</v>
      </c>
      <c r="B698" t="s">
        <v>1705</v>
      </c>
      <c r="C698" t="s">
        <v>2357</v>
      </c>
      <c r="D698" t="s">
        <v>2054</v>
      </c>
      <c r="E698" t="s">
        <v>2008</v>
      </c>
      <c r="F698">
        <v>14</v>
      </c>
      <c r="G698" t="s">
        <v>2011</v>
      </c>
      <c r="H698" t="s">
        <v>2017</v>
      </c>
      <c r="I698" t="s">
        <v>2018</v>
      </c>
      <c r="J698" t="s">
        <v>2024</v>
      </c>
      <c r="K698">
        <v>10</v>
      </c>
      <c r="L698" t="s">
        <v>2034</v>
      </c>
      <c r="M698" t="s">
        <v>2036</v>
      </c>
      <c r="N698" t="str">
        <f t="shared" si="20"/>
        <v>Fail</v>
      </c>
      <c r="O698" t="str">
        <f t="shared" si="21"/>
        <v>UnderAge</v>
      </c>
      <c r="P698" t="str" cm="1">
        <f t="array" ref="P698">_xlfn.IFS(K698&gt;90,"Excellent",K698&gt;80,"Very Good",K698&gt;70,"Good",K698&gt;=50,"Poor",K698&lt;50,"Fail")</f>
        <v>Fail</v>
      </c>
    </row>
    <row r="699" spans="1:16" x14ac:dyDescent="0.25">
      <c r="A699" t="s">
        <v>708</v>
      </c>
      <c r="B699" t="s">
        <v>1706</v>
      </c>
      <c r="C699" t="s">
        <v>2358</v>
      </c>
      <c r="D699" t="s">
        <v>2718</v>
      </c>
      <c r="E699" t="s">
        <v>2007</v>
      </c>
      <c r="F699">
        <v>18</v>
      </c>
      <c r="G699" t="s">
        <v>2012</v>
      </c>
      <c r="H699" t="s">
        <v>2014</v>
      </c>
      <c r="I699" t="s">
        <v>2019</v>
      </c>
      <c r="J699" t="s">
        <v>2024</v>
      </c>
      <c r="K699">
        <v>87</v>
      </c>
      <c r="L699" t="s">
        <v>2029</v>
      </c>
      <c r="M699" t="s">
        <v>2035</v>
      </c>
      <c r="N699" t="str">
        <f t="shared" si="20"/>
        <v>Pass</v>
      </c>
      <c r="O699" t="str">
        <f t="shared" si="21"/>
        <v>Adult</v>
      </c>
      <c r="P699" t="str" cm="1">
        <f t="array" ref="P699">_xlfn.IFS(K699&gt;90,"Excellent",K699&gt;80,"Very Good",K699&gt;70,"Good",K699&gt;=50,"Poor",K699&lt;50,"Fail")</f>
        <v>Very Good</v>
      </c>
    </row>
    <row r="700" spans="1:16" x14ac:dyDescent="0.25">
      <c r="A700" t="s">
        <v>709</v>
      </c>
      <c r="B700" t="s">
        <v>1707</v>
      </c>
      <c r="C700" t="s">
        <v>2103</v>
      </c>
      <c r="D700" t="s">
        <v>2319</v>
      </c>
      <c r="E700" t="s">
        <v>2008</v>
      </c>
      <c r="F700">
        <v>18</v>
      </c>
      <c r="G700" t="s">
        <v>2010</v>
      </c>
      <c r="H700" t="s">
        <v>2014</v>
      </c>
      <c r="I700" t="s">
        <v>2018</v>
      </c>
      <c r="J700" t="s">
        <v>2023</v>
      </c>
      <c r="K700">
        <v>0</v>
      </c>
      <c r="L700" t="s">
        <v>2032</v>
      </c>
      <c r="M700" t="s">
        <v>2036</v>
      </c>
      <c r="N700" t="str">
        <f t="shared" si="20"/>
        <v>Fail</v>
      </c>
      <c r="O700" t="str">
        <f t="shared" si="21"/>
        <v>Adult</v>
      </c>
      <c r="P700" t="str" cm="1">
        <f t="array" ref="P700">_xlfn.IFS(K700&gt;90,"Excellent",K700&gt;80,"Very Good",K700&gt;70,"Good",K700&gt;=50,"Poor",K700&lt;50,"Fail")</f>
        <v>Fail</v>
      </c>
    </row>
    <row r="701" spans="1:16" x14ac:dyDescent="0.25">
      <c r="A701" t="s">
        <v>710</v>
      </c>
      <c r="B701" t="s">
        <v>1708</v>
      </c>
      <c r="C701" t="s">
        <v>2191</v>
      </c>
      <c r="D701" t="s">
        <v>2069</v>
      </c>
      <c r="E701" t="s">
        <v>2007</v>
      </c>
      <c r="F701">
        <v>17</v>
      </c>
      <c r="G701" t="s">
        <v>2010</v>
      </c>
      <c r="H701" t="s">
        <v>2015</v>
      </c>
      <c r="I701" t="s">
        <v>2021</v>
      </c>
      <c r="J701" t="s">
        <v>2023</v>
      </c>
      <c r="K701">
        <v>99</v>
      </c>
      <c r="L701" t="s">
        <v>2029</v>
      </c>
      <c r="M701" t="s">
        <v>2035</v>
      </c>
      <c r="N701" t="str">
        <f t="shared" si="20"/>
        <v>Pass</v>
      </c>
      <c r="O701" t="str">
        <f t="shared" si="21"/>
        <v>UnderAge</v>
      </c>
      <c r="P701" t="str" cm="1">
        <f t="array" ref="P701">_xlfn.IFS(K701&gt;90,"Excellent",K701&gt;80,"Very Good",K701&gt;70,"Good",K701&gt;=50,"Poor",K701&lt;50,"Fail")</f>
        <v>Excellent</v>
      </c>
    </row>
    <row r="702" spans="1:16" x14ac:dyDescent="0.25">
      <c r="A702" t="s">
        <v>711</v>
      </c>
      <c r="B702" t="s">
        <v>1709</v>
      </c>
      <c r="C702" t="s">
        <v>2064</v>
      </c>
      <c r="D702" t="s">
        <v>2056</v>
      </c>
      <c r="E702" t="s">
        <v>2007</v>
      </c>
      <c r="F702">
        <v>16</v>
      </c>
      <c r="G702" t="s">
        <v>2012</v>
      </c>
      <c r="H702" t="s">
        <v>2017</v>
      </c>
      <c r="I702" t="s">
        <v>2020</v>
      </c>
      <c r="J702" t="s">
        <v>2024</v>
      </c>
      <c r="K702">
        <v>85</v>
      </c>
      <c r="L702" t="s">
        <v>2033</v>
      </c>
      <c r="M702" t="s">
        <v>2035</v>
      </c>
      <c r="N702" t="str">
        <f t="shared" si="20"/>
        <v>Pass</v>
      </c>
      <c r="O702" t="str">
        <f t="shared" si="21"/>
        <v>UnderAge</v>
      </c>
      <c r="P702" t="str" cm="1">
        <f t="array" ref="P702">_xlfn.IFS(K702&gt;90,"Excellent",K702&gt;80,"Very Good",K702&gt;70,"Good",K702&gt;=50,"Poor",K702&lt;50,"Fail")</f>
        <v>Very Good</v>
      </c>
    </row>
    <row r="703" spans="1:16" x14ac:dyDescent="0.25">
      <c r="A703" t="s">
        <v>712</v>
      </c>
      <c r="B703" t="s">
        <v>1710</v>
      </c>
      <c r="C703" t="s">
        <v>2359</v>
      </c>
      <c r="D703" t="s">
        <v>2432</v>
      </c>
      <c r="E703" t="s">
        <v>2008</v>
      </c>
      <c r="F703">
        <v>17</v>
      </c>
      <c r="G703" t="s">
        <v>2011</v>
      </c>
      <c r="H703" t="s">
        <v>2016</v>
      </c>
      <c r="I703" t="s">
        <v>2020</v>
      </c>
      <c r="J703" t="s">
        <v>2024</v>
      </c>
      <c r="K703">
        <v>52</v>
      </c>
      <c r="L703" t="s">
        <v>2025</v>
      </c>
      <c r="M703" t="s">
        <v>2035</v>
      </c>
      <c r="N703" t="str">
        <f t="shared" si="20"/>
        <v>Pass</v>
      </c>
      <c r="O703" t="str">
        <f t="shared" si="21"/>
        <v>UnderAge</v>
      </c>
      <c r="P703" t="str" cm="1">
        <f t="array" ref="P703">_xlfn.IFS(K703&gt;90,"Excellent",K703&gt;80,"Very Good",K703&gt;70,"Good",K703&gt;=50,"Poor",K703&lt;50,"Fail")</f>
        <v>Poor</v>
      </c>
    </row>
    <row r="704" spans="1:16" x14ac:dyDescent="0.25">
      <c r="A704" t="s">
        <v>713</v>
      </c>
      <c r="B704" t="s">
        <v>1711</v>
      </c>
      <c r="C704" t="s">
        <v>2148</v>
      </c>
      <c r="D704" t="s">
        <v>2414</v>
      </c>
      <c r="E704" t="s">
        <v>2008</v>
      </c>
      <c r="F704">
        <v>17</v>
      </c>
      <c r="G704" t="s">
        <v>2012</v>
      </c>
      <c r="H704" t="s">
        <v>2017</v>
      </c>
      <c r="I704" t="s">
        <v>2020</v>
      </c>
      <c r="J704" t="s">
        <v>2023</v>
      </c>
      <c r="K704">
        <v>95</v>
      </c>
      <c r="L704" t="s">
        <v>2026</v>
      </c>
      <c r="M704" t="s">
        <v>2035</v>
      </c>
      <c r="N704" t="str">
        <f t="shared" si="20"/>
        <v>Pass</v>
      </c>
      <c r="O704" t="str">
        <f t="shared" si="21"/>
        <v>UnderAge</v>
      </c>
      <c r="P704" t="str" cm="1">
        <f t="array" ref="P704">_xlfn.IFS(K704&gt;90,"Excellent",K704&gt;80,"Very Good",K704&gt;70,"Good",K704&gt;=50,"Poor",K704&lt;50,"Fail")</f>
        <v>Excellent</v>
      </c>
    </row>
    <row r="705" spans="1:16" x14ac:dyDescent="0.25">
      <c r="A705" t="s">
        <v>714</v>
      </c>
      <c r="B705" t="s">
        <v>1712</v>
      </c>
      <c r="C705" t="s">
        <v>2360</v>
      </c>
      <c r="D705" t="s">
        <v>2416</v>
      </c>
      <c r="E705" t="s">
        <v>2007</v>
      </c>
      <c r="F705">
        <v>14</v>
      </c>
      <c r="G705" t="s">
        <v>2009</v>
      </c>
      <c r="H705" t="s">
        <v>2017</v>
      </c>
      <c r="I705" t="s">
        <v>2019</v>
      </c>
      <c r="J705" t="s">
        <v>2024</v>
      </c>
      <c r="K705">
        <v>49</v>
      </c>
      <c r="L705" t="s">
        <v>2028</v>
      </c>
      <c r="M705" t="s">
        <v>2036</v>
      </c>
      <c r="N705" t="str">
        <f t="shared" si="20"/>
        <v>Fail</v>
      </c>
      <c r="O705" t="str">
        <f t="shared" si="21"/>
        <v>UnderAge</v>
      </c>
      <c r="P705" t="str" cm="1">
        <f t="array" ref="P705">_xlfn.IFS(K705&gt;90,"Excellent",K705&gt;80,"Very Good",K705&gt;70,"Good",K705&gt;=50,"Poor",K705&lt;50,"Fail")</f>
        <v>Fail</v>
      </c>
    </row>
    <row r="706" spans="1:16" x14ac:dyDescent="0.25">
      <c r="A706" t="s">
        <v>715</v>
      </c>
      <c r="B706" t="s">
        <v>1713</v>
      </c>
      <c r="C706" t="s">
        <v>2270</v>
      </c>
      <c r="D706" t="s">
        <v>2733</v>
      </c>
      <c r="E706" t="s">
        <v>2007</v>
      </c>
      <c r="F706">
        <v>17</v>
      </c>
      <c r="G706" t="s">
        <v>2012</v>
      </c>
      <c r="H706" t="s">
        <v>2017</v>
      </c>
      <c r="I706" t="s">
        <v>2019</v>
      </c>
      <c r="J706" t="s">
        <v>2024</v>
      </c>
      <c r="K706">
        <v>62</v>
      </c>
      <c r="L706" t="s">
        <v>2033</v>
      </c>
      <c r="M706" t="s">
        <v>2035</v>
      </c>
      <c r="N706" t="str">
        <f t="shared" si="20"/>
        <v>Pass</v>
      </c>
      <c r="O706" t="str">
        <f t="shared" si="21"/>
        <v>UnderAge</v>
      </c>
      <c r="P706" t="str" cm="1">
        <f t="array" ref="P706">_xlfn.IFS(K706&gt;90,"Excellent",K706&gt;80,"Very Good",K706&gt;70,"Good",K706&gt;=50,"Poor",K706&lt;50,"Fail")</f>
        <v>Poor</v>
      </c>
    </row>
    <row r="707" spans="1:16" x14ac:dyDescent="0.25">
      <c r="A707" t="s">
        <v>716</v>
      </c>
      <c r="B707" t="s">
        <v>1714</v>
      </c>
      <c r="C707" t="s">
        <v>2361</v>
      </c>
      <c r="D707" t="s">
        <v>2504</v>
      </c>
      <c r="E707" t="s">
        <v>2008</v>
      </c>
      <c r="F707">
        <v>15</v>
      </c>
      <c r="G707" t="s">
        <v>2012</v>
      </c>
      <c r="H707" t="s">
        <v>2015</v>
      </c>
      <c r="I707" t="s">
        <v>2022</v>
      </c>
      <c r="J707" t="s">
        <v>2024</v>
      </c>
      <c r="K707">
        <v>11</v>
      </c>
      <c r="L707" t="s">
        <v>2028</v>
      </c>
      <c r="M707" t="s">
        <v>2036</v>
      </c>
      <c r="N707" t="str">
        <f t="shared" ref="N707:N770" si="22">IF(K707&gt;=50,"Pass","Fail")</f>
        <v>Fail</v>
      </c>
      <c r="O707" t="str">
        <f t="shared" ref="O707:O770" si="23">IF(F707&gt;=18,"Adult","UnderAge")</f>
        <v>UnderAge</v>
      </c>
      <c r="P707" t="str" cm="1">
        <f t="array" ref="P707">_xlfn.IFS(K707&gt;90,"Excellent",K707&gt;80,"Very Good",K707&gt;70,"Good",K707&gt;=50,"Poor",K707&lt;50,"Fail")</f>
        <v>Fail</v>
      </c>
    </row>
    <row r="708" spans="1:16" x14ac:dyDescent="0.25">
      <c r="A708" t="s">
        <v>717</v>
      </c>
      <c r="B708" t="s">
        <v>1715</v>
      </c>
      <c r="C708" t="s">
        <v>2095</v>
      </c>
      <c r="D708" t="s">
        <v>2764</v>
      </c>
      <c r="E708" t="s">
        <v>2008</v>
      </c>
      <c r="F708">
        <v>17</v>
      </c>
      <c r="G708" t="s">
        <v>2011</v>
      </c>
      <c r="H708" t="s">
        <v>2017</v>
      </c>
      <c r="I708" t="s">
        <v>2021</v>
      </c>
      <c r="J708" t="s">
        <v>2024</v>
      </c>
      <c r="K708">
        <v>42</v>
      </c>
      <c r="L708" t="s">
        <v>2033</v>
      </c>
      <c r="M708" t="s">
        <v>2036</v>
      </c>
      <c r="N708" t="str">
        <f t="shared" si="22"/>
        <v>Fail</v>
      </c>
      <c r="O708" t="str">
        <f t="shared" si="23"/>
        <v>UnderAge</v>
      </c>
      <c r="P708" t="str" cm="1">
        <f t="array" ref="P708">_xlfn.IFS(K708&gt;90,"Excellent",K708&gt;80,"Very Good",K708&gt;70,"Good",K708&gt;=50,"Poor",K708&lt;50,"Fail")</f>
        <v>Fail</v>
      </c>
    </row>
    <row r="709" spans="1:16" x14ac:dyDescent="0.25">
      <c r="A709" t="s">
        <v>718</v>
      </c>
      <c r="B709" t="s">
        <v>1716</v>
      </c>
      <c r="C709" t="s">
        <v>2086</v>
      </c>
      <c r="D709" t="s">
        <v>2703</v>
      </c>
      <c r="E709" t="s">
        <v>2008</v>
      </c>
      <c r="F709">
        <v>15</v>
      </c>
      <c r="G709" t="s">
        <v>2009</v>
      </c>
      <c r="H709" t="s">
        <v>2017</v>
      </c>
      <c r="I709" t="s">
        <v>2019</v>
      </c>
      <c r="J709" t="s">
        <v>2024</v>
      </c>
      <c r="K709">
        <v>36</v>
      </c>
      <c r="L709" t="s">
        <v>2033</v>
      </c>
      <c r="M709" t="s">
        <v>2036</v>
      </c>
      <c r="N709" t="str">
        <f t="shared" si="22"/>
        <v>Fail</v>
      </c>
      <c r="O709" t="str">
        <f t="shared" si="23"/>
        <v>UnderAge</v>
      </c>
      <c r="P709" t="str" cm="1">
        <f t="array" ref="P709">_xlfn.IFS(K709&gt;90,"Excellent",K709&gt;80,"Very Good",K709&gt;70,"Good",K709&gt;=50,"Poor",K709&lt;50,"Fail")</f>
        <v>Fail</v>
      </c>
    </row>
    <row r="710" spans="1:16" x14ac:dyDescent="0.25">
      <c r="A710" t="s">
        <v>719</v>
      </c>
      <c r="B710" t="s">
        <v>1717</v>
      </c>
      <c r="C710" t="s">
        <v>2175</v>
      </c>
      <c r="D710" t="s">
        <v>2427</v>
      </c>
      <c r="E710" t="s">
        <v>2007</v>
      </c>
      <c r="F710">
        <v>16</v>
      </c>
      <c r="G710" t="s">
        <v>2010</v>
      </c>
      <c r="H710" t="s">
        <v>2014</v>
      </c>
      <c r="I710" t="s">
        <v>2019</v>
      </c>
      <c r="J710" t="s">
        <v>2024</v>
      </c>
      <c r="K710">
        <v>10</v>
      </c>
      <c r="L710" t="s">
        <v>2031</v>
      </c>
      <c r="M710" t="s">
        <v>2036</v>
      </c>
      <c r="N710" t="str">
        <f t="shared" si="22"/>
        <v>Fail</v>
      </c>
      <c r="O710" t="str">
        <f t="shared" si="23"/>
        <v>UnderAge</v>
      </c>
      <c r="P710" t="str" cm="1">
        <f t="array" ref="P710">_xlfn.IFS(K710&gt;90,"Excellent",K710&gt;80,"Very Good",K710&gt;70,"Good",K710&gt;=50,"Poor",K710&lt;50,"Fail")</f>
        <v>Fail</v>
      </c>
    </row>
    <row r="711" spans="1:16" x14ac:dyDescent="0.25">
      <c r="A711" t="s">
        <v>720</v>
      </c>
      <c r="B711" t="s">
        <v>1718</v>
      </c>
      <c r="C711" t="s">
        <v>2148</v>
      </c>
      <c r="D711" t="s">
        <v>2765</v>
      </c>
      <c r="E711" t="s">
        <v>2007</v>
      </c>
      <c r="F711">
        <v>16</v>
      </c>
      <c r="G711" t="s">
        <v>2010</v>
      </c>
      <c r="H711" t="s">
        <v>2017</v>
      </c>
      <c r="I711" t="s">
        <v>2022</v>
      </c>
      <c r="J711" t="s">
        <v>2023</v>
      </c>
      <c r="K711">
        <v>91</v>
      </c>
      <c r="L711" t="s">
        <v>2034</v>
      </c>
      <c r="M711" t="s">
        <v>2035</v>
      </c>
      <c r="N711" t="str">
        <f t="shared" si="22"/>
        <v>Pass</v>
      </c>
      <c r="O711" t="str">
        <f t="shared" si="23"/>
        <v>UnderAge</v>
      </c>
      <c r="P711" t="str" cm="1">
        <f t="array" ref="P711">_xlfn.IFS(K711&gt;90,"Excellent",K711&gt;80,"Very Good",K711&gt;70,"Good",K711&gt;=50,"Poor",K711&lt;50,"Fail")</f>
        <v>Excellent</v>
      </c>
    </row>
    <row r="712" spans="1:16" x14ac:dyDescent="0.25">
      <c r="A712" t="s">
        <v>721</v>
      </c>
      <c r="B712" t="s">
        <v>1719</v>
      </c>
      <c r="C712" t="s">
        <v>2097</v>
      </c>
      <c r="D712" t="s">
        <v>2060</v>
      </c>
      <c r="E712" t="s">
        <v>2007</v>
      </c>
      <c r="F712">
        <v>16</v>
      </c>
      <c r="G712" t="s">
        <v>2010</v>
      </c>
      <c r="H712" t="s">
        <v>2016</v>
      </c>
      <c r="I712" t="s">
        <v>2022</v>
      </c>
      <c r="J712" t="s">
        <v>2023</v>
      </c>
      <c r="K712">
        <v>67</v>
      </c>
      <c r="L712" t="s">
        <v>2028</v>
      </c>
      <c r="M712" t="s">
        <v>2035</v>
      </c>
      <c r="N712" t="str">
        <f t="shared" si="22"/>
        <v>Pass</v>
      </c>
      <c r="O712" t="str">
        <f t="shared" si="23"/>
        <v>UnderAge</v>
      </c>
      <c r="P712" t="str" cm="1">
        <f t="array" ref="P712">_xlfn.IFS(K712&gt;90,"Excellent",K712&gt;80,"Very Good",K712&gt;70,"Good",K712&gt;=50,"Poor",K712&lt;50,"Fail")</f>
        <v>Poor</v>
      </c>
    </row>
    <row r="713" spans="1:16" x14ac:dyDescent="0.25">
      <c r="A713" t="s">
        <v>722</v>
      </c>
      <c r="B713" t="s">
        <v>1720</v>
      </c>
      <c r="C713" t="s">
        <v>2120</v>
      </c>
      <c r="D713" t="s">
        <v>2219</v>
      </c>
      <c r="E713" t="s">
        <v>2008</v>
      </c>
      <c r="F713">
        <v>16</v>
      </c>
      <c r="G713" t="s">
        <v>2013</v>
      </c>
      <c r="H713" t="s">
        <v>2016</v>
      </c>
      <c r="I713" t="s">
        <v>2020</v>
      </c>
      <c r="J713" t="s">
        <v>2024</v>
      </c>
      <c r="K713">
        <v>96</v>
      </c>
      <c r="L713" t="s">
        <v>2027</v>
      </c>
      <c r="M713" t="s">
        <v>2035</v>
      </c>
      <c r="N713" t="str">
        <f t="shared" si="22"/>
        <v>Pass</v>
      </c>
      <c r="O713" t="str">
        <f t="shared" si="23"/>
        <v>UnderAge</v>
      </c>
      <c r="P713" t="str" cm="1">
        <f t="array" ref="P713">_xlfn.IFS(K713&gt;90,"Excellent",K713&gt;80,"Very Good",K713&gt;70,"Good",K713&gt;=50,"Poor",K713&lt;50,"Fail")</f>
        <v>Excellent</v>
      </c>
    </row>
    <row r="714" spans="1:16" x14ac:dyDescent="0.25">
      <c r="A714" t="s">
        <v>723</v>
      </c>
      <c r="B714" t="s">
        <v>1721</v>
      </c>
      <c r="C714" t="s">
        <v>2135</v>
      </c>
      <c r="D714" t="s">
        <v>2458</v>
      </c>
      <c r="E714" t="s">
        <v>2007</v>
      </c>
      <c r="F714">
        <v>17</v>
      </c>
      <c r="G714" t="s">
        <v>2009</v>
      </c>
      <c r="H714" t="s">
        <v>2015</v>
      </c>
      <c r="I714" t="s">
        <v>2019</v>
      </c>
      <c r="J714" t="s">
        <v>2023</v>
      </c>
      <c r="K714">
        <v>25</v>
      </c>
      <c r="L714" t="s">
        <v>2033</v>
      </c>
      <c r="M714" t="s">
        <v>2036</v>
      </c>
      <c r="N714" t="str">
        <f t="shared" si="22"/>
        <v>Fail</v>
      </c>
      <c r="O714" t="str">
        <f t="shared" si="23"/>
        <v>UnderAge</v>
      </c>
      <c r="P714" t="str" cm="1">
        <f t="array" ref="P714">_xlfn.IFS(K714&gt;90,"Excellent",K714&gt;80,"Very Good",K714&gt;70,"Good",K714&gt;=50,"Poor",K714&lt;50,"Fail")</f>
        <v>Fail</v>
      </c>
    </row>
    <row r="715" spans="1:16" x14ac:dyDescent="0.25">
      <c r="A715" t="s">
        <v>724</v>
      </c>
      <c r="B715" t="s">
        <v>1722</v>
      </c>
      <c r="C715" t="s">
        <v>2362</v>
      </c>
      <c r="D715" t="s">
        <v>2592</v>
      </c>
      <c r="E715" t="s">
        <v>2008</v>
      </c>
      <c r="F715">
        <v>15</v>
      </c>
      <c r="G715" t="s">
        <v>2011</v>
      </c>
      <c r="H715" t="s">
        <v>2014</v>
      </c>
      <c r="I715" t="s">
        <v>2019</v>
      </c>
      <c r="J715" t="s">
        <v>2023</v>
      </c>
      <c r="K715">
        <v>36</v>
      </c>
      <c r="L715" t="s">
        <v>2028</v>
      </c>
      <c r="M715" t="s">
        <v>2036</v>
      </c>
      <c r="N715" t="str">
        <f t="shared" si="22"/>
        <v>Fail</v>
      </c>
      <c r="O715" t="str">
        <f t="shared" si="23"/>
        <v>UnderAge</v>
      </c>
      <c r="P715" t="str" cm="1">
        <f t="array" ref="P715">_xlfn.IFS(K715&gt;90,"Excellent",K715&gt;80,"Very Good",K715&gt;70,"Good",K715&gt;=50,"Poor",K715&lt;50,"Fail")</f>
        <v>Fail</v>
      </c>
    </row>
    <row r="716" spans="1:16" x14ac:dyDescent="0.25">
      <c r="A716" t="s">
        <v>725</v>
      </c>
      <c r="B716" t="s">
        <v>1723</v>
      </c>
      <c r="C716" t="s">
        <v>2088</v>
      </c>
      <c r="D716" t="s">
        <v>2766</v>
      </c>
      <c r="E716" t="s">
        <v>2008</v>
      </c>
      <c r="F716">
        <v>14</v>
      </c>
      <c r="G716" t="s">
        <v>2010</v>
      </c>
      <c r="H716" t="s">
        <v>2016</v>
      </c>
      <c r="I716" t="s">
        <v>2019</v>
      </c>
      <c r="J716" t="s">
        <v>2024</v>
      </c>
      <c r="K716">
        <v>70</v>
      </c>
      <c r="L716" t="s">
        <v>2032</v>
      </c>
      <c r="M716" t="s">
        <v>2035</v>
      </c>
      <c r="N716" t="str">
        <f t="shared" si="22"/>
        <v>Pass</v>
      </c>
      <c r="O716" t="str">
        <f t="shared" si="23"/>
        <v>UnderAge</v>
      </c>
      <c r="P716" t="str" cm="1">
        <f t="array" ref="P716">_xlfn.IFS(K716&gt;90,"Excellent",K716&gt;80,"Very Good",K716&gt;70,"Good",K716&gt;=50,"Poor",K716&lt;50,"Fail")</f>
        <v>Poor</v>
      </c>
    </row>
    <row r="717" spans="1:16" x14ac:dyDescent="0.25">
      <c r="A717" t="s">
        <v>726</v>
      </c>
      <c r="B717" t="s">
        <v>1724</v>
      </c>
      <c r="C717" t="s">
        <v>2248</v>
      </c>
      <c r="D717" t="s">
        <v>2415</v>
      </c>
      <c r="E717" t="s">
        <v>2007</v>
      </c>
      <c r="F717">
        <v>17</v>
      </c>
      <c r="G717" t="s">
        <v>2013</v>
      </c>
      <c r="H717" t="s">
        <v>2017</v>
      </c>
      <c r="I717" t="s">
        <v>2021</v>
      </c>
      <c r="J717" t="s">
        <v>2024</v>
      </c>
      <c r="K717">
        <v>50</v>
      </c>
      <c r="L717" t="s">
        <v>2027</v>
      </c>
      <c r="M717" t="s">
        <v>2035</v>
      </c>
      <c r="N717" t="str">
        <f t="shared" si="22"/>
        <v>Pass</v>
      </c>
      <c r="O717" t="str">
        <f t="shared" si="23"/>
        <v>UnderAge</v>
      </c>
      <c r="P717" t="str" cm="1">
        <f t="array" ref="P717">_xlfn.IFS(K717&gt;90,"Excellent",K717&gt;80,"Very Good",K717&gt;70,"Good",K717&gt;=50,"Poor",K717&lt;50,"Fail")</f>
        <v>Poor</v>
      </c>
    </row>
    <row r="718" spans="1:16" x14ac:dyDescent="0.25">
      <c r="A718" t="s">
        <v>727</v>
      </c>
      <c r="B718" t="s">
        <v>1725</v>
      </c>
      <c r="C718" t="s">
        <v>2229</v>
      </c>
      <c r="D718" t="s">
        <v>2658</v>
      </c>
      <c r="E718" t="s">
        <v>2007</v>
      </c>
      <c r="F718">
        <v>18</v>
      </c>
      <c r="G718" t="s">
        <v>2009</v>
      </c>
      <c r="H718" t="s">
        <v>2014</v>
      </c>
      <c r="I718" t="s">
        <v>2020</v>
      </c>
      <c r="J718" t="s">
        <v>2023</v>
      </c>
      <c r="K718">
        <v>38</v>
      </c>
      <c r="L718" t="s">
        <v>2034</v>
      </c>
      <c r="M718" t="s">
        <v>2036</v>
      </c>
      <c r="N718" t="str">
        <f t="shared" si="22"/>
        <v>Fail</v>
      </c>
      <c r="O718" t="str">
        <f t="shared" si="23"/>
        <v>Adult</v>
      </c>
      <c r="P718" t="str" cm="1">
        <f t="array" ref="P718">_xlfn.IFS(K718&gt;90,"Excellent",K718&gt;80,"Very Good",K718&gt;70,"Good",K718&gt;=50,"Poor",K718&lt;50,"Fail")</f>
        <v>Fail</v>
      </c>
    </row>
    <row r="719" spans="1:16" x14ac:dyDescent="0.25">
      <c r="A719" t="s">
        <v>728</v>
      </c>
      <c r="B719" t="s">
        <v>1726</v>
      </c>
      <c r="C719" t="s">
        <v>2363</v>
      </c>
      <c r="D719" t="s">
        <v>2767</v>
      </c>
      <c r="E719" t="s">
        <v>2008</v>
      </c>
      <c r="F719">
        <v>17</v>
      </c>
      <c r="G719" t="s">
        <v>2010</v>
      </c>
      <c r="H719" t="s">
        <v>2015</v>
      </c>
      <c r="I719" t="s">
        <v>2021</v>
      </c>
      <c r="J719" t="s">
        <v>2023</v>
      </c>
      <c r="K719">
        <v>79</v>
      </c>
      <c r="L719" t="s">
        <v>2026</v>
      </c>
      <c r="M719" t="s">
        <v>2035</v>
      </c>
      <c r="N719" t="str">
        <f t="shared" si="22"/>
        <v>Pass</v>
      </c>
      <c r="O719" t="str">
        <f t="shared" si="23"/>
        <v>UnderAge</v>
      </c>
      <c r="P719" t="str" cm="1">
        <f t="array" ref="P719">_xlfn.IFS(K719&gt;90,"Excellent",K719&gt;80,"Very Good",K719&gt;70,"Good",K719&gt;=50,"Poor",K719&lt;50,"Fail")</f>
        <v>Good</v>
      </c>
    </row>
    <row r="720" spans="1:16" x14ac:dyDescent="0.25">
      <c r="A720" t="s">
        <v>729</v>
      </c>
      <c r="B720" t="s">
        <v>1727</v>
      </c>
      <c r="C720" t="s">
        <v>2094</v>
      </c>
      <c r="D720" t="s">
        <v>2768</v>
      </c>
      <c r="E720" t="s">
        <v>2007</v>
      </c>
      <c r="F720">
        <v>14</v>
      </c>
      <c r="G720" t="s">
        <v>2009</v>
      </c>
      <c r="H720" t="s">
        <v>2014</v>
      </c>
      <c r="I720" t="s">
        <v>2021</v>
      </c>
      <c r="J720" t="s">
        <v>2024</v>
      </c>
      <c r="K720">
        <v>96</v>
      </c>
      <c r="L720" t="s">
        <v>2032</v>
      </c>
      <c r="M720" t="s">
        <v>2035</v>
      </c>
      <c r="N720" t="str">
        <f t="shared" si="22"/>
        <v>Pass</v>
      </c>
      <c r="O720" t="str">
        <f t="shared" si="23"/>
        <v>UnderAge</v>
      </c>
      <c r="P720" t="str" cm="1">
        <f t="array" ref="P720">_xlfn.IFS(K720&gt;90,"Excellent",K720&gt;80,"Very Good",K720&gt;70,"Good",K720&gt;=50,"Poor",K720&lt;50,"Fail")</f>
        <v>Excellent</v>
      </c>
    </row>
    <row r="721" spans="1:16" x14ac:dyDescent="0.25">
      <c r="A721" t="s">
        <v>730</v>
      </c>
      <c r="B721" t="s">
        <v>1728</v>
      </c>
      <c r="C721" t="s">
        <v>2112</v>
      </c>
      <c r="D721" t="s">
        <v>2052</v>
      </c>
      <c r="E721" t="s">
        <v>2008</v>
      </c>
      <c r="F721">
        <v>17</v>
      </c>
      <c r="G721" t="s">
        <v>2012</v>
      </c>
      <c r="H721" t="s">
        <v>2015</v>
      </c>
      <c r="I721" t="s">
        <v>2020</v>
      </c>
      <c r="J721" t="s">
        <v>2023</v>
      </c>
      <c r="K721">
        <v>17</v>
      </c>
      <c r="L721" t="s">
        <v>2033</v>
      </c>
      <c r="M721" t="s">
        <v>2036</v>
      </c>
      <c r="N721" t="str">
        <f t="shared" si="22"/>
        <v>Fail</v>
      </c>
      <c r="O721" t="str">
        <f t="shared" si="23"/>
        <v>UnderAge</v>
      </c>
      <c r="P721" t="str" cm="1">
        <f t="array" ref="P721">_xlfn.IFS(K721&gt;90,"Excellent",K721&gt;80,"Very Good",K721&gt;70,"Good",K721&gt;=50,"Poor",K721&lt;50,"Fail")</f>
        <v>Fail</v>
      </c>
    </row>
    <row r="722" spans="1:16" x14ac:dyDescent="0.25">
      <c r="A722" t="s">
        <v>731</v>
      </c>
      <c r="B722" t="s">
        <v>1729</v>
      </c>
      <c r="C722" t="s">
        <v>2250</v>
      </c>
      <c r="D722" t="s">
        <v>2769</v>
      </c>
      <c r="E722" t="s">
        <v>2007</v>
      </c>
      <c r="F722">
        <v>15</v>
      </c>
      <c r="G722" t="s">
        <v>2013</v>
      </c>
      <c r="H722" t="s">
        <v>2016</v>
      </c>
      <c r="I722" t="s">
        <v>2018</v>
      </c>
      <c r="J722" t="s">
        <v>2023</v>
      </c>
      <c r="K722">
        <v>87</v>
      </c>
      <c r="L722" t="s">
        <v>2034</v>
      </c>
      <c r="M722" t="s">
        <v>2035</v>
      </c>
      <c r="N722" t="str">
        <f t="shared" si="22"/>
        <v>Pass</v>
      </c>
      <c r="O722" t="str">
        <f t="shared" si="23"/>
        <v>UnderAge</v>
      </c>
      <c r="P722" t="str" cm="1">
        <f t="array" ref="P722">_xlfn.IFS(K722&gt;90,"Excellent",K722&gt;80,"Very Good",K722&gt;70,"Good",K722&gt;=50,"Poor",K722&lt;50,"Fail")</f>
        <v>Very Good</v>
      </c>
    </row>
    <row r="723" spans="1:16" x14ac:dyDescent="0.25">
      <c r="A723" t="s">
        <v>732</v>
      </c>
      <c r="B723" t="s">
        <v>1730</v>
      </c>
      <c r="C723" t="s">
        <v>2364</v>
      </c>
      <c r="D723" t="s">
        <v>2679</v>
      </c>
      <c r="E723" t="s">
        <v>2007</v>
      </c>
      <c r="F723">
        <v>17</v>
      </c>
      <c r="G723" t="s">
        <v>2013</v>
      </c>
      <c r="H723" t="s">
        <v>2015</v>
      </c>
      <c r="I723" t="s">
        <v>2021</v>
      </c>
      <c r="J723" t="s">
        <v>2024</v>
      </c>
      <c r="K723">
        <v>84</v>
      </c>
      <c r="L723" t="s">
        <v>2034</v>
      </c>
      <c r="M723" t="s">
        <v>2035</v>
      </c>
      <c r="N723" t="str">
        <f t="shared" si="22"/>
        <v>Pass</v>
      </c>
      <c r="O723" t="str">
        <f t="shared" si="23"/>
        <v>UnderAge</v>
      </c>
      <c r="P723" t="str" cm="1">
        <f t="array" ref="P723">_xlfn.IFS(K723&gt;90,"Excellent",K723&gt;80,"Very Good",K723&gt;70,"Good",K723&gt;=50,"Poor",K723&lt;50,"Fail")</f>
        <v>Very Good</v>
      </c>
    </row>
    <row r="724" spans="1:16" x14ac:dyDescent="0.25">
      <c r="A724" t="s">
        <v>733</v>
      </c>
      <c r="B724" t="s">
        <v>1731</v>
      </c>
      <c r="C724" t="s">
        <v>2132</v>
      </c>
      <c r="D724" t="s">
        <v>2770</v>
      </c>
      <c r="E724" t="s">
        <v>2008</v>
      </c>
      <c r="F724">
        <v>14</v>
      </c>
      <c r="G724" t="s">
        <v>2009</v>
      </c>
      <c r="H724" t="s">
        <v>2014</v>
      </c>
      <c r="I724" t="s">
        <v>2018</v>
      </c>
      <c r="J724" t="s">
        <v>2024</v>
      </c>
      <c r="K724">
        <v>21</v>
      </c>
      <c r="L724" t="s">
        <v>2029</v>
      </c>
      <c r="M724" t="s">
        <v>2036</v>
      </c>
      <c r="N724" t="str">
        <f t="shared" si="22"/>
        <v>Fail</v>
      </c>
      <c r="O724" t="str">
        <f t="shared" si="23"/>
        <v>UnderAge</v>
      </c>
      <c r="P724" t="str" cm="1">
        <f t="array" ref="P724">_xlfn.IFS(K724&gt;90,"Excellent",K724&gt;80,"Very Good",K724&gt;70,"Good",K724&gt;=50,"Poor",K724&lt;50,"Fail")</f>
        <v>Fail</v>
      </c>
    </row>
    <row r="725" spans="1:16" x14ac:dyDescent="0.25">
      <c r="A725" t="s">
        <v>734</v>
      </c>
      <c r="B725" t="s">
        <v>1732</v>
      </c>
      <c r="C725" t="s">
        <v>2135</v>
      </c>
      <c r="D725" t="s">
        <v>2450</v>
      </c>
      <c r="E725" t="s">
        <v>2007</v>
      </c>
      <c r="F725">
        <v>15</v>
      </c>
      <c r="G725" t="s">
        <v>2011</v>
      </c>
      <c r="H725" t="s">
        <v>2015</v>
      </c>
      <c r="I725" t="s">
        <v>2018</v>
      </c>
      <c r="J725" t="s">
        <v>2023</v>
      </c>
      <c r="K725">
        <v>23</v>
      </c>
      <c r="L725" t="s">
        <v>2026</v>
      </c>
      <c r="M725" t="s">
        <v>2036</v>
      </c>
      <c r="N725" t="str">
        <f t="shared" si="22"/>
        <v>Fail</v>
      </c>
      <c r="O725" t="str">
        <f t="shared" si="23"/>
        <v>UnderAge</v>
      </c>
      <c r="P725" t="str" cm="1">
        <f t="array" ref="P725">_xlfn.IFS(K725&gt;90,"Excellent",K725&gt;80,"Very Good",K725&gt;70,"Good",K725&gt;=50,"Poor",K725&lt;50,"Fail")</f>
        <v>Fail</v>
      </c>
    </row>
    <row r="726" spans="1:16" x14ac:dyDescent="0.25">
      <c r="A726" t="s">
        <v>735</v>
      </c>
      <c r="B726" t="s">
        <v>1733</v>
      </c>
      <c r="C726" t="s">
        <v>2071</v>
      </c>
      <c r="D726" t="s">
        <v>2771</v>
      </c>
      <c r="E726" t="s">
        <v>2007</v>
      </c>
      <c r="F726">
        <v>15</v>
      </c>
      <c r="G726" t="s">
        <v>2011</v>
      </c>
      <c r="H726" t="s">
        <v>2016</v>
      </c>
      <c r="I726" t="s">
        <v>2018</v>
      </c>
      <c r="J726" t="s">
        <v>2023</v>
      </c>
      <c r="K726">
        <v>3</v>
      </c>
      <c r="L726" t="s">
        <v>2034</v>
      </c>
      <c r="M726" t="s">
        <v>2036</v>
      </c>
      <c r="N726" t="str">
        <f t="shared" si="22"/>
        <v>Fail</v>
      </c>
      <c r="O726" t="str">
        <f t="shared" si="23"/>
        <v>UnderAge</v>
      </c>
      <c r="P726" t="str" cm="1">
        <f t="array" ref="P726">_xlfn.IFS(K726&gt;90,"Excellent",K726&gt;80,"Very Good",K726&gt;70,"Good",K726&gt;=50,"Poor",K726&lt;50,"Fail")</f>
        <v>Fail</v>
      </c>
    </row>
    <row r="727" spans="1:16" x14ac:dyDescent="0.25">
      <c r="A727" t="s">
        <v>736</v>
      </c>
      <c r="B727" t="s">
        <v>1734</v>
      </c>
      <c r="C727" t="s">
        <v>2206</v>
      </c>
      <c r="D727" t="s">
        <v>2601</v>
      </c>
      <c r="E727" t="s">
        <v>2008</v>
      </c>
      <c r="F727">
        <v>18</v>
      </c>
      <c r="G727" t="s">
        <v>2012</v>
      </c>
      <c r="H727" t="s">
        <v>2014</v>
      </c>
      <c r="I727" t="s">
        <v>2021</v>
      </c>
      <c r="J727" t="s">
        <v>2024</v>
      </c>
      <c r="K727">
        <v>24</v>
      </c>
      <c r="L727" t="s">
        <v>2027</v>
      </c>
      <c r="M727" t="s">
        <v>2036</v>
      </c>
      <c r="N727" t="str">
        <f t="shared" si="22"/>
        <v>Fail</v>
      </c>
      <c r="O727" t="str">
        <f t="shared" si="23"/>
        <v>Adult</v>
      </c>
      <c r="P727" t="str" cm="1">
        <f t="array" ref="P727">_xlfn.IFS(K727&gt;90,"Excellent",K727&gt;80,"Very Good",K727&gt;70,"Good",K727&gt;=50,"Poor",K727&lt;50,"Fail")</f>
        <v>Fail</v>
      </c>
    </row>
    <row r="728" spans="1:16" x14ac:dyDescent="0.25">
      <c r="A728" t="s">
        <v>737</v>
      </c>
      <c r="B728" t="s">
        <v>1735</v>
      </c>
      <c r="C728" t="s">
        <v>2255</v>
      </c>
      <c r="D728" t="s">
        <v>2689</v>
      </c>
      <c r="E728" t="s">
        <v>2007</v>
      </c>
      <c r="F728">
        <v>17</v>
      </c>
      <c r="G728" t="s">
        <v>2011</v>
      </c>
      <c r="H728" t="s">
        <v>2016</v>
      </c>
      <c r="I728" t="s">
        <v>2021</v>
      </c>
      <c r="J728" t="s">
        <v>2024</v>
      </c>
      <c r="K728">
        <v>12</v>
      </c>
      <c r="L728" t="s">
        <v>2032</v>
      </c>
      <c r="M728" t="s">
        <v>2036</v>
      </c>
      <c r="N728" t="str">
        <f t="shared" si="22"/>
        <v>Fail</v>
      </c>
      <c r="O728" t="str">
        <f t="shared" si="23"/>
        <v>UnderAge</v>
      </c>
      <c r="P728" t="str" cm="1">
        <f t="array" ref="P728">_xlfn.IFS(K728&gt;90,"Excellent",K728&gt;80,"Very Good",K728&gt;70,"Good",K728&gt;=50,"Poor",K728&lt;50,"Fail")</f>
        <v>Fail</v>
      </c>
    </row>
    <row r="729" spans="1:16" x14ac:dyDescent="0.25">
      <c r="A729" t="s">
        <v>738</v>
      </c>
      <c r="B729" t="s">
        <v>1736</v>
      </c>
      <c r="C729" t="s">
        <v>2261</v>
      </c>
      <c r="D729" t="s">
        <v>2484</v>
      </c>
      <c r="E729" t="s">
        <v>2007</v>
      </c>
      <c r="F729">
        <v>15</v>
      </c>
      <c r="G729" t="s">
        <v>2012</v>
      </c>
      <c r="H729" t="s">
        <v>2015</v>
      </c>
      <c r="I729" t="s">
        <v>2021</v>
      </c>
      <c r="J729" t="s">
        <v>2024</v>
      </c>
      <c r="K729">
        <v>11</v>
      </c>
      <c r="L729" t="s">
        <v>2033</v>
      </c>
      <c r="M729" t="s">
        <v>2036</v>
      </c>
      <c r="N729" t="str">
        <f t="shared" si="22"/>
        <v>Fail</v>
      </c>
      <c r="O729" t="str">
        <f t="shared" si="23"/>
        <v>UnderAge</v>
      </c>
      <c r="P729" t="str" cm="1">
        <f t="array" ref="P729">_xlfn.IFS(K729&gt;90,"Excellent",K729&gt;80,"Very Good",K729&gt;70,"Good",K729&gt;=50,"Poor",K729&lt;50,"Fail")</f>
        <v>Fail</v>
      </c>
    </row>
    <row r="730" spans="1:16" x14ac:dyDescent="0.25">
      <c r="A730" t="s">
        <v>739</v>
      </c>
      <c r="B730" t="s">
        <v>1737</v>
      </c>
      <c r="C730" t="s">
        <v>2096</v>
      </c>
      <c r="D730" t="s">
        <v>2611</v>
      </c>
      <c r="E730" t="s">
        <v>2008</v>
      </c>
      <c r="F730">
        <v>15</v>
      </c>
      <c r="G730" t="s">
        <v>2009</v>
      </c>
      <c r="H730" t="s">
        <v>2017</v>
      </c>
      <c r="I730" t="s">
        <v>2018</v>
      </c>
      <c r="J730" t="s">
        <v>2023</v>
      </c>
      <c r="K730">
        <v>27</v>
      </c>
      <c r="L730" t="s">
        <v>2031</v>
      </c>
      <c r="M730" t="s">
        <v>2036</v>
      </c>
      <c r="N730" t="str">
        <f t="shared" si="22"/>
        <v>Fail</v>
      </c>
      <c r="O730" t="str">
        <f t="shared" si="23"/>
        <v>UnderAge</v>
      </c>
      <c r="P730" t="str" cm="1">
        <f t="array" ref="P730">_xlfn.IFS(K730&gt;90,"Excellent",K730&gt;80,"Very Good",K730&gt;70,"Good",K730&gt;=50,"Poor",K730&lt;50,"Fail")</f>
        <v>Fail</v>
      </c>
    </row>
    <row r="731" spans="1:16" x14ac:dyDescent="0.25">
      <c r="A731" t="s">
        <v>740</v>
      </c>
      <c r="B731" t="s">
        <v>1738</v>
      </c>
      <c r="C731" t="s">
        <v>2274</v>
      </c>
      <c r="D731" t="s">
        <v>2416</v>
      </c>
      <c r="E731" t="s">
        <v>2007</v>
      </c>
      <c r="F731">
        <v>16</v>
      </c>
      <c r="G731" t="s">
        <v>2012</v>
      </c>
      <c r="H731" t="s">
        <v>2017</v>
      </c>
      <c r="I731" t="s">
        <v>2022</v>
      </c>
      <c r="J731" t="s">
        <v>2023</v>
      </c>
      <c r="K731">
        <v>7</v>
      </c>
      <c r="L731" t="s">
        <v>2034</v>
      </c>
      <c r="M731" t="s">
        <v>2036</v>
      </c>
      <c r="N731" t="str">
        <f t="shared" si="22"/>
        <v>Fail</v>
      </c>
      <c r="O731" t="str">
        <f t="shared" si="23"/>
        <v>UnderAge</v>
      </c>
      <c r="P731" t="str" cm="1">
        <f t="array" ref="P731">_xlfn.IFS(K731&gt;90,"Excellent",K731&gt;80,"Very Good",K731&gt;70,"Good",K731&gt;=50,"Poor",K731&lt;50,"Fail")</f>
        <v>Fail</v>
      </c>
    </row>
    <row r="732" spans="1:16" x14ac:dyDescent="0.25">
      <c r="A732" t="s">
        <v>741</v>
      </c>
      <c r="B732" t="s">
        <v>1739</v>
      </c>
      <c r="C732" t="s">
        <v>2231</v>
      </c>
      <c r="D732" t="s">
        <v>2439</v>
      </c>
      <c r="E732" t="s">
        <v>2008</v>
      </c>
      <c r="F732">
        <v>15</v>
      </c>
      <c r="G732" t="s">
        <v>2009</v>
      </c>
      <c r="H732" t="s">
        <v>2016</v>
      </c>
      <c r="I732" t="s">
        <v>2022</v>
      </c>
      <c r="J732" t="s">
        <v>2024</v>
      </c>
      <c r="K732">
        <v>22</v>
      </c>
      <c r="L732" t="s">
        <v>2032</v>
      </c>
      <c r="M732" t="s">
        <v>2036</v>
      </c>
      <c r="N732" t="str">
        <f t="shared" si="22"/>
        <v>Fail</v>
      </c>
      <c r="O732" t="str">
        <f t="shared" si="23"/>
        <v>UnderAge</v>
      </c>
      <c r="P732" t="str" cm="1">
        <f t="array" ref="P732">_xlfn.IFS(K732&gt;90,"Excellent",K732&gt;80,"Very Good",K732&gt;70,"Good",K732&gt;=50,"Poor",K732&lt;50,"Fail")</f>
        <v>Fail</v>
      </c>
    </row>
    <row r="733" spans="1:16" x14ac:dyDescent="0.25">
      <c r="A733" t="s">
        <v>742</v>
      </c>
      <c r="B733" t="s">
        <v>1740</v>
      </c>
      <c r="C733" t="s">
        <v>2115</v>
      </c>
      <c r="D733" t="s">
        <v>2127</v>
      </c>
      <c r="E733" t="s">
        <v>2007</v>
      </c>
      <c r="F733">
        <v>16</v>
      </c>
      <c r="G733" t="s">
        <v>2010</v>
      </c>
      <c r="H733" t="s">
        <v>2015</v>
      </c>
      <c r="I733" t="s">
        <v>2019</v>
      </c>
      <c r="J733" t="s">
        <v>2024</v>
      </c>
      <c r="K733">
        <v>12</v>
      </c>
      <c r="L733" t="s">
        <v>2032</v>
      </c>
      <c r="M733" t="s">
        <v>2036</v>
      </c>
      <c r="N733" t="str">
        <f t="shared" si="22"/>
        <v>Fail</v>
      </c>
      <c r="O733" t="str">
        <f t="shared" si="23"/>
        <v>UnderAge</v>
      </c>
      <c r="P733" t="str" cm="1">
        <f t="array" ref="P733">_xlfn.IFS(K733&gt;90,"Excellent",K733&gt;80,"Very Good",K733&gt;70,"Good",K733&gt;=50,"Poor",K733&lt;50,"Fail")</f>
        <v>Fail</v>
      </c>
    </row>
    <row r="734" spans="1:16" x14ac:dyDescent="0.25">
      <c r="A734" t="s">
        <v>743</v>
      </c>
      <c r="B734" t="s">
        <v>1741</v>
      </c>
      <c r="C734" t="s">
        <v>2095</v>
      </c>
      <c r="D734" t="s">
        <v>2772</v>
      </c>
      <c r="E734" t="s">
        <v>2007</v>
      </c>
      <c r="F734">
        <v>17</v>
      </c>
      <c r="G734" t="s">
        <v>2013</v>
      </c>
      <c r="H734" t="s">
        <v>2015</v>
      </c>
      <c r="I734" t="s">
        <v>2020</v>
      </c>
      <c r="J734" t="s">
        <v>2024</v>
      </c>
      <c r="K734">
        <v>95</v>
      </c>
      <c r="L734" t="s">
        <v>2031</v>
      </c>
      <c r="M734" t="s">
        <v>2035</v>
      </c>
      <c r="N734" t="str">
        <f t="shared" si="22"/>
        <v>Pass</v>
      </c>
      <c r="O734" t="str">
        <f t="shared" si="23"/>
        <v>UnderAge</v>
      </c>
      <c r="P734" t="str" cm="1">
        <f t="array" ref="P734">_xlfn.IFS(K734&gt;90,"Excellent",K734&gt;80,"Very Good",K734&gt;70,"Good",K734&gt;=50,"Poor",K734&lt;50,"Fail")</f>
        <v>Excellent</v>
      </c>
    </row>
    <row r="735" spans="1:16" x14ac:dyDescent="0.25">
      <c r="A735" t="s">
        <v>744</v>
      </c>
      <c r="B735" t="s">
        <v>1742</v>
      </c>
      <c r="C735" t="s">
        <v>2071</v>
      </c>
      <c r="D735" t="s">
        <v>2084</v>
      </c>
      <c r="E735" t="s">
        <v>2007</v>
      </c>
      <c r="F735">
        <v>14</v>
      </c>
      <c r="G735" t="s">
        <v>2011</v>
      </c>
      <c r="H735" t="s">
        <v>2017</v>
      </c>
      <c r="I735" t="s">
        <v>2020</v>
      </c>
      <c r="J735" t="s">
        <v>2024</v>
      </c>
      <c r="K735">
        <v>8</v>
      </c>
      <c r="L735" t="s">
        <v>2027</v>
      </c>
      <c r="M735" t="s">
        <v>2036</v>
      </c>
      <c r="N735" t="str">
        <f t="shared" si="22"/>
        <v>Fail</v>
      </c>
      <c r="O735" t="str">
        <f t="shared" si="23"/>
        <v>UnderAge</v>
      </c>
      <c r="P735" t="str" cm="1">
        <f t="array" ref="P735">_xlfn.IFS(K735&gt;90,"Excellent",K735&gt;80,"Very Good",K735&gt;70,"Good",K735&gt;=50,"Poor",K735&lt;50,"Fail")</f>
        <v>Fail</v>
      </c>
    </row>
    <row r="736" spans="1:16" x14ac:dyDescent="0.25">
      <c r="A736" t="s">
        <v>745</v>
      </c>
      <c r="B736" t="s">
        <v>1743</v>
      </c>
      <c r="C736" t="s">
        <v>2181</v>
      </c>
      <c r="D736" t="s">
        <v>2058</v>
      </c>
      <c r="E736" t="s">
        <v>2008</v>
      </c>
      <c r="F736">
        <v>18</v>
      </c>
      <c r="G736" t="s">
        <v>2010</v>
      </c>
      <c r="H736" t="s">
        <v>2017</v>
      </c>
      <c r="I736" t="s">
        <v>2019</v>
      </c>
      <c r="J736" t="s">
        <v>2023</v>
      </c>
      <c r="K736">
        <v>45</v>
      </c>
      <c r="L736" t="s">
        <v>2030</v>
      </c>
      <c r="M736" t="s">
        <v>2036</v>
      </c>
      <c r="N736" t="str">
        <f t="shared" si="22"/>
        <v>Fail</v>
      </c>
      <c r="O736" t="str">
        <f t="shared" si="23"/>
        <v>Adult</v>
      </c>
      <c r="P736" t="str" cm="1">
        <f t="array" ref="P736">_xlfn.IFS(K736&gt;90,"Excellent",K736&gt;80,"Very Good",K736&gt;70,"Good",K736&gt;=50,"Poor",K736&lt;50,"Fail")</f>
        <v>Fail</v>
      </c>
    </row>
    <row r="737" spans="1:16" x14ac:dyDescent="0.25">
      <c r="A737" t="s">
        <v>746</v>
      </c>
      <c r="B737" t="s">
        <v>1744</v>
      </c>
      <c r="C737" t="s">
        <v>2208</v>
      </c>
      <c r="D737" t="s">
        <v>2773</v>
      </c>
      <c r="E737" t="s">
        <v>2007</v>
      </c>
      <c r="F737">
        <v>16</v>
      </c>
      <c r="G737" t="s">
        <v>2013</v>
      </c>
      <c r="H737" t="s">
        <v>2015</v>
      </c>
      <c r="I737" t="s">
        <v>2019</v>
      </c>
      <c r="J737" t="s">
        <v>2023</v>
      </c>
      <c r="K737">
        <v>29</v>
      </c>
      <c r="L737" t="s">
        <v>2030</v>
      </c>
      <c r="M737" t="s">
        <v>2036</v>
      </c>
      <c r="N737" t="str">
        <f t="shared" si="22"/>
        <v>Fail</v>
      </c>
      <c r="O737" t="str">
        <f t="shared" si="23"/>
        <v>UnderAge</v>
      </c>
      <c r="P737" t="str" cm="1">
        <f t="array" ref="P737">_xlfn.IFS(K737&gt;90,"Excellent",K737&gt;80,"Very Good",K737&gt;70,"Good",K737&gt;=50,"Poor",K737&lt;50,"Fail")</f>
        <v>Fail</v>
      </c>
    </row>
    <row r="738" spans="1:16" x14ac:dyDescent="0.25">
      <c r="A738" t="s">
        <v>747</v>
      </c>
      <c r="B738" t="s">
        <v>1745</v>
      </c>
      <c r="C738" t="s">
        <v>2073</v>
      </c>
      <c r="D738" t="s">
        <v>2774</v>
      </c>
      <c r="E738" t="s">
        <v>2007</v>
      </c>
      <c r="F738">
        <v>18</v>
      </c>
      <c r="G738" t="s">
        <v>2010</v>
      </c>
      <c r="H738" t="s">
        <v>2015</v>
      </c>
      <c r="I738" t="s">
        <v>2018</v>
      </c>
      <c r="J738" t="s">
        <v>2023</v>
      </c>
      <c r="K738">
        <v>17</v>
      </c>
      <c r="L738" t="s">
        <v>2028</v>
      </c>
      <c r="M738" t="s">
        <v>2036</v>
      </c>
      <c r="N738" t="str">
        <f t="shared" si="22"/>
        <v>Fail</v>
      </c>
      <c r="O738" t="str">
        <f t="shared" si="23"/>
        <v>Adult</v>
      </c>
      <c r="P738" t="str" cm="1">
        <f t="array" ref="P738">_xlfn.IFS(K738&gt;90,"Excellent",K738&gt;80,"Very Good",K738&gt;70,"Good",K738&gt;=50,"Poor",K738&lt;50,"Fail")</f>
        <v>Fail</v>
      </c>
    </row>
    <row r="739" spans="1:16" x14ac:dyDescent="0.25">
      <c r="A739" t="s">
        <v>748</v>
      </c>
      <c r="B739" t="s">
        <v>1746</v>
      </c>
      <c r="C739" t="s">
        <v>2250</v>
      </c>
      <c r="D739" t="s">
        <v>2775</v>
      </c>
      <c r="E739" t="s">
        <v>2008</v>
      </c>
      <c r="F739">
        <v>16</v>
      </c>
      <c r="G739" t="s">
        <v>2010</v>
      </c>
      <c r="H739" t="s">
        <v>2015</v>
      </c>
      <c r="I739" t="s">
        <v>2022</v>
      </c>
      <c r="J739" t="s">
        <v>2024</v>
      </c>
      <c r="K739">
        <v>79</v>
      </c>
      <c r="L739" t="s">
        <v>2033</v>
      </c>
      <c r="M739" t="s">
        <v>2035</v>
      </c>
      <c r="N739" t="str">
        <f t="shared" si="22"/>
        <v>Pass</v>
      </c>
      <c r="O739" t="str">
        <f t="shared" si="23"/>
        <v>UnderAge</v>
      </c>
      <c r="P739" t="str" cm="1">
        <f t="array" ref="P739">_xlfn.IFS(K739&gt;90,"Excellent",K739&gt;80,"Very Good",K739&gt;70,"Good",K739&gt;=50,"Poor",K739&lt;50,"Fail")</f>
        <v>Good</v>
      </c>
    </row>
    <row r="740" spans="1:16" x14ac:dyDescent="0.25">
      <c r="A740" t="s">
        <v>749</v>
      </c>
      <c r="B740" t="s">
        <v>1747</v>
      </c>
      <c r="C740" t="s">
        <v>2365</v>
      </c>
      <c r="D740" t="s">
        <v>2776</v>
      </c>
      <c r="E740" t="s">
        <v>2008</v>
      </c>
      <c r="F740">
        <v>15</v>
      </c>
      <c r="G740" t="s">
        <v>2011</v>
      </c>
      <c r="H740" t="s">
        <v>2017</v>
      </c>
      <c r="I740" t="s">
        <v>2021</v>
      </c>
      <c r="J740" t="s">
        <v>2024</v>
      </c>
      <c r="K740">
        <v>84</v>
      </c>
      <c r="L740" t="s">
        <v>2026</v>
      </c>
      <c r="M740" t="s">
        <v>2035</v>
      </c>
      <c r="N740" t="str">
        <f t="shared" si="22"/>
        <v>Pass</v>
      </c>
      <c r="O740" t="str">
        <f t="shared" si="23"/>
        <v>UnderAge</v>
      </c>
      <c r="P740" t="str" cm="1">
        <f t="array" ref="P740">_xlfn.IFS(K740&gt;90,"Excellent",K740&gt;80,"Very Good",K740&gt;70,"Good",K740&gt;=50,"Poor",K740&lt;50,"Fail")</f>
        <v>Very Good</v>
      </c>
    </row>
    <row r="741" spans="1:16" x14ac:dyDescent="0.25">
      <c r="A741" t="s">
        <v>750</v>
      </c>
      <c r="B741" t="s">
        <v>1748</v>
      </c>
      <c r="C741" t="s">
        <v>2156</v>
      </c>
      <c r="D741" t="s">
        <v>2507</v>
      </c>
      <c r="E741" t="s">
        <v>2008</v>
      </c>
      <c r="F741">
        <v>14</v>
      </c>
      <c r="G741" t="s">
        <v>2012</v>
      </c>
      <c r="H741" t="s">
        <v>2015</v>
      </c>
      <c r="I741" t="s">
        <v>2022</v>
      </c>
      <c r="J741" t="s">
        <v>2023</v>
      </c>
      <c r="K741">
        <v>59</v>
      </c>
      <c r="L741" t="s">
        <v>2030</v>
      </c>
      <c r="M741" t="s">
        <v>2035</v>
      </c>
      <c r="N741" t="str">
        <f t="shared" si="22"/>
        <v>Pass</v>
      </c>
      <c r="O741" t="str">
        <f t="shared" si="23"/>
        <v>UnderAge</v>
      </c>
      <c r="P741" t="str" cm="1">
        <f t="array" ref="P741">_xlfn.IFS(K741&gt;90,"Excellent",K741&gt;80,"Very Good",K741&gt;70,"Good",K741&gt;=50,"Poor",K741&lt;50,"Fail")</f>
        <v>Poor</v>
      </c>
    </row>
    <row r="742" spans="1:16" x14ac:dyDescent="0.25">
      <c r="A742" t="s">
        <v>751</v>
      </c>
      <c r="B742" t="s">
        <v>1749</v>
      </c>
      <c r="C742" t="s">
        <v>2119</v>
      </c>
      <c r="D742" t="s">
        <v>2543</v>
      </c>
      <c r="E742" t="s">
        <v>2007</v>
      </c>
      <c r="F742">
        <v>14</v>
      </c>
      <c r="G742" t="s">
        <v>2009</v>
      </c>
      <c r="H742" t="s">
        <v>2014</v>
      </c>
      <c r="I742" t="s">
        <v>2022</v>
      </c>
      <c r="J742" t="s">
        <v>2024</v>
      </c>
      <c r="K742">
        <v>9</v>
      </c>
      <c r="L742" t="s">
        <v>2028</v>
      </c>
      <c r="M742" t="s">
        <v>2036</v>
      </c>
      <c r="N742" t="str">
        <f t="shared" si="22"/>
        <v>Fail</v>
      </c>
      <c r="O742" t="str">
        <f t="shared" si="23"/>
        <v>UnderAge</v>
      </c>
      <c r="P742" t="str" cm="1">
        <f t="array" ref="P742">_xlfn.IFS(K742&gt;90,"Excellent",K742&gt;80,"Very Good",K742&gt;70,"Good",K742&gt;=50,"Poor",K742&lt;50,"Fail")</f>
        <v>Fail</v>
      </c>
    </row>
    <row r="743" spans="1:16" x14ac:dyDescent="0.25">
      <c r="A743" t="s">
        <v>752</v>
      </c>
      <c r="B743" t="s">
        <v>1750</v>
      </c>
      <c r="C743" t="s">
        <v>2071</v>
      </c>
      <c r="D743" t="s">
        <v>2617</v>
      </c>
      <c r="E743" t="s">
        <v>2008</v>
      </c>
      <c r="F743">
        <v>16</v>
      </c>
      <c r="G743" t="s">
        <v>2012</v>
      </c>
      <c r="H743" t="s">
        <v>2015</v>
      </c>
      <c r="I743" t="s">
        <v>2018</v>
      </c>
      <c r="J743" t="s">
        <v>2023</v>
      </c>
      <c r="K743">
        <v>95</v>
      </c>
      <c r="L743" t="s">
        <v>2034</v>
      </c>
      <c r="M743" t="s">
        <v>2035</v>
      </c>
      <c r="N743" t="str">
        <f t="shared" si="22"/>
        <v>Pass</v>
      </c>
      <c r="O743" t="str">
        <f t="shared" si="23"/>
        <v>UnderAge</v>
      </c>
      <c r="P743" t="str" cm="1">
        <f t="array" ref="P743">_xlfn.IFS(K743&gt;90,"Excellent",K743&gt;80,"Very Good",K743&gt;70,"Good",K743&gt;=50,"Poor",K743&lt;50,"Fail")</f>
        <v>Excellent</v>
      </c>
    </row>
    <row r="744" spans="1:16" x14ac:dyDescent="0.25">
      <c r="A744" t="s">
        <v>753</v>
      </c>
      <c r="B744" t="s">
        <v>1751</v>
      </c>
      <c r="C744" t="s">
        <v>2150</v>
      </c>
      <c r="D744" t="s">
        <v>2043</v>
      </c>
      <c r="E744" t="s">
        <v>2007</v>
      </c>
      <c r="F744">
        <v>17</v>
      </c>
      <c r="G744" t="s">
        <v>2012</v>
      </c>
      <c r="H744" t="s">
        <v>2016</v>
      </c>
      <c r="I744" t="s">
        <v>2019</v>
      </c>
      <c r="J744" t="s">
        <v>2024</v>
      </c>
      <c r="K744">
        <v>19</v>
      </c>
      <c r="L744" t="s">
        <v>2026</v>
      </c>
      <c r="M744" t="s">
        <v>2036</v>
      </c>
      <c r="N744" t="str">
        <f t="shared" si="22"/>
        <v>Fail</v>
      </c>
      <c r="O744" t="str">
        <f t="shared" si="23"/>
        <v>UnderAge</v>
      </c>
      <c r="P744" t="str" cm="1">
        <f t="array" ref="P744">_xlfn.IFS(K744&gt;90,"Excellent",K744&gt;80,"Very Good",K744&gt;70,"Good",K744&gt;=50,"Poor",K744&lt;50,"Fail")</f>
        <v>Fail</v>
      </c>
    </row>
    <row r="745" spans="1:16" x14ac:dyDescent="0.25">
      <c r="A745" t="s">
        <v>754</v>
      </c>
      <c r="B745" t="s">
        <v>1752</v>
      </c>
      <c r="C745" t="s">
        <v>2212</v>
      </c>
      <c r="D745" t="s">
        <v>2450</v>
      </c>
      <c r="E745" t="s">
        <v>2008</v>
      </c>
      <c r="F745">
        <v>16</v>
      </c>
      <c r="G745" t="s">
        <v>2010</v>
      </c>
      <c r="H745" t="s">
        <v>2015</v>
      </c>
      <c r="I745" t="s">
        <v>2022</v>
      </c>
      <c r="J745" t="s">
        <v>2023</v>
      </c>
      <c r="K745">
        <v>83</v>
      </c>
      <c r="L745" t="s">
        <v>2033</v>
      </c>
      <c r="M745" t="s">
        <v>2035</v>
      </c>
      <c r="N745" t="str">
        <f t="shared" si="22"/>
        <v>Pass</v>
      </c>
      <c r="O745" t="str">
        <f t="shared" si="23"/>
        <v>UnderAge</v>
      </c>
      <c r="P745" t="str" cm="1">
        <f t="array" ref="P745">_xlfn.IFS(K745&gt;90,"Excellent",K745&gt;80,"Very Good",K745&gt;70,"Good",K745&gt;=50,"Poor",K745&lt;50,"Fail")</f>
        <v>Very Good</v>
      </c>
    </row>
    <row r="746" spans="1:16" x14ac:dyDescent="0.25">
      <c r="A746" t="s">
        <v>755</v>
      </c>
      <c r="B746" t="s">
        <v>1753</v>
      </c>
      <c r="C746" t="s">
        <v>2217</v>
      </c>
      <c r="D746" t="s">
        <v>2058</v>
      </c>
      <c r="E746" t="s">
        <v>2007</v>
      </c>
      <c r="F746">
        <v>15</v>
      </c>
      <c r="G746" t="s">
        <v>2013</v>
      </c>
      <c r="H746" t="s">
        <v>2016</v>
      </c>
      <c r="I746" t="s">
        <v>2018</v>
      </c>
      <c r="J746" t="s">
        <v>2024</v>
      </c>
      <c r="K746">
        <v>33</v>
      </c>
      <c r="L746" t="s">
        <v>2031</v>
      </c>
      <c r="M746" t="s">
        <v>2036</v>
      </c>
      <c r="N746" t="str">
        <f t="shared" si="22"/>
        <v>Fail</v>
      </c>
      <c r="O746" t="str">
        <f t="shared" si="23"/>
        <v>UnderAge</v>
      </c>
      <c r="P746" t="str" cm="1">
        <f t="array" ref="P746">_xlfn.IFS(K746&gt;90,"Excellent",K746&gt;80,"Very Good",K746&gt;70,"Good",K746&gt;=50,"Poor",K746&lt;50,"Fail")</f>
        <v>Fail</v>
      </c>
    </row>
    <row r="747" spans="1:16" x14ac:dyDescent="0.25">
      <c r="A747" t="s">
        <v>756</v>
      </c>
      <c r="B747" t="s">
        <v>1754</v>
      </c>
      <c r="C747" t="s">
        <v>2076</v>
      </c>
      <c r="D747" t="s">
        <v>2272</v>
      </c>
      <c r="E747" t="s">
        <v>2007</v>
      </c>
      <c r="F747">
        <v>16</v>
      </c>
      <c r="G747" t="s">
        <v>2009</v>
      </c>
      <c r="H747" t="s">
        <v>2015</v>
      </c>
      <c r="I747" t="s">
        <v>2022</v>
      </c>
      <c r="J747" t="s">
        <v>2023</v>
      </c>
      <c r="K747">
        <v>77</v>
      </c>
      <c r="L747" t="s">
        <v>2025</v>
      </c>
      <c r="M747" t="s">
        <v>2035</v>
      </c>
      <c r="N747" t="str">
        <f t="shared" si="22"/>
        <v>Pass</v>
      </c>
      <c r="O747" t="str">
        <f t="shared" si="23"/>
        <v>UnderAge</v>
      </c>
      <c r="P747" t="str" cm="1">
        <f t="array" ref="P747">_xlfn.IFS(K747&gt;90,"Excellent",K747&gt;80,"Very Good",K747&gt;70,"Good",K747&gt;=50,"Poor",K747&lt;50,"Fail")</f>
        <v>Good</v>
      </c>
    </row>
    <row r="748" spans="1:16" x14ac:dyDescent="0.25">
      <c r="A748" t="s">
        <v>757</v>
      </c>
      <c r="B748" t="s">
        <v>1755</v>
      </c>
      <c r="C748" t="s">
        <v>2224</v>
      </c>
      <c r="D748" t="s">
        <v>2552</v>
      </c>
      <c r="E748" t="s">
        <v>2008</v>
      </c>
      <c r="F748">
        <v>15</v>
      </c>
      <c r="G748" t="s">
        <v>2009</v>
      </c>
      <c r="H748" t="s">
        <v>2016</v>
      </c>
      <c r="I748" t="s">
        <v>2018</v>
      </c>
      <c r="J748" t="s">
        <v>2024</v>
      </c>
      <c r="K748">
        <v>36</v>
      </c>
      <c r="L748" t="s">
        <v>2028</v>
      </c>
      <c r="M748" t="s">
        <v>2036</v>
      </c>
      <c r="N748" t="str">
        <f t="shared" si="22"/>
        <v>Fail</v>
      </c>
      <c r="O748" t="str">
        <f t="shared" si="23"/>
        <v>UnderAge</v>
      </c>
      <c r="P748" t="str" cm="1">
        <f t="array" ref="P748">_xlfn.IFS(K748&gt;90,"Excellent",K748&gt;80,"Very Good",K748&gt;70,"Good",K748&gt;=50,"Poor",K748&lt;50,"Fail")</f>
        <v>Fail</v>
      </c>
    </row>
    <row r="749" spans="1:16" x14ac:dyDescent="0.25">
      <c r="A749" t="s">
        <v>758</v>
      </c>
      <c r="B749" t="s">
        <v>1756</v>
      </c>
      <c r="C749" t="s">
        <v>2108</v>
      </c>
      <c r="D749" t="s">
        <v>2055</v>
      </c>
      <c r="E749" t="s">
        <v>2007</v>
      </c>
      <c r="F749">
        <v>15</v>
      </c>
      <c r="G749" t="s">
        <v>2010</v>
      </c>
      <c r="H749" t="s">
        <v>2014</v>
      </c>
      <c r="I749" t="s">
        <v>2021</v>
      </c>
      <c r="J749" t="s">
        <v>2023</v>
      </c>
      <c r="K749">
        <v>40</v>
      </c>
      <c r="L749" t="s">
        <v>2034</v>
      </c>
      <c r="M749" t="s">
        <v>2036</v>
      </c>
      <c r="N749" t="str">
        <f t="shared" si="22"/>
        <v>Fail</v>
      </c>
      <c r="O749" t="str">
        <f t="shared" si="23"/>
        <v>UnderAge</v>
      </c>
      <c r="P749" t="str" cm="1">
        <f t="array" ref="P749">_xlfn.IFS(K749&gt;90,"Excellent",K749&gt;80,"Very Good",K749&gt;70,"Good",K749&gt;=50,"Poor",K749&lt;50,"Fail")</f>
        <v>Fail</v>
      </c>
    </row>
    <row r="750" spans="1:16" x14ac:dyDescent="0.25">
      <c r="A750" t="s">
        <v>759</v>
      </c>
      <c r="B750" t="s">
        <v>1757</v>
      </c>
      <c r="C750" t="s">
        <v>2096</v>
      </c>
      <c r="D750" t="s">
        <v>2520</v>
      </c>
      <c r="E750" t="s">
        <v>2007</v>
      </c>
      <c r="F750">
        <v>16</v>
      </c>
      <c r="G750" t="s">
        <v>2010</v>
      </c>
      <c r="H750" t="s">
        <v>2014</v>
      </c>
      <c r="I750" t="s">
        <v>2022</v>
      </c>
      <c r="J750" t="s">
        <v>2024</v>
      </c>
      <c r="K750">
        <v>29</v>
      </c>
      <c r="L750" t="s">
        <v>2027</v>
      </c>
      <c r="M750" t="s">
        <v>2036</v>
      </c>
      <c r="N750" t="str">
        <f t="shared" si="22"/>
        <v>Fail</v>
      </c>
      <c r="O750" t="str">
        <f t="shared" si="23"/>
        <v>UnderAge</v>
      </c>
      <c r="P750" t="str" cm="1">
        <f t="array" ref="P750">_xlfn.IFS(K750&gt;90,"Excellent",K750&gt;80,"Very Good",K750&gt;70,"Good",K750&gt;=50,"Poor",K750&lt;50,"Fail")</f>
        <v>Fail</v>
      </c>
    </row>
    <row r="751" spans="1:16" x14ac:dyDescent="0.25">
      <c r="A751" t="s">
        <v>760</v>
      </c>
      <c r="B751" t="s">
        <v>1758</v>
      </c>
      <c r="C751" t="s">
        <v>2119</v>
      </c>
      <c r="D751" t="s">
        <v>2777</v>
      </c>
      <c r="E751" t="s">
        <v>2008</v>
      </c>
      <c r="F751">
        <v>16</v>
      </c>
      <c r="G751" t="s">
        <v>2010</v>
      </c>
      <c r="H751" t="s">
        <v>2015</v>
      </c>
      <c r="I751" t="s">
        <v>2021</v>
      </c>
      <c r="J751" t="s">
        <v>2023</v>
      </c>
      <c r="K751">
        <v>16</v>
      </c>
      <c r="L751" t="s">
        <v>2029</v>
      </c>
      <c r="M751" t="s">
        <v>2036</v>
      </c>
      <c r="N751" t="str">
        <f t="shared" si="22"/>
        <v>Fail</v>
      </c>
      <c r="O751" t="str">
        <f t="shared" si="23"/>
        <v>UnderAge</v>
      </c>
      <c r="P751" t="str" cm="1">
        <f t="array" ref="P751">_xlfn.IFS(K751&gt;90,"Excellent",K751&gt;80,"Very Good",K751&gt;70,"Good",K751&gt;=50,"Poor",K751&lt;50,"Fail")</f>
        <v>Fail</v>
      </c>
    </row>
    <row r="752" spans="1:16" x14ac:dyDescent="0.25">
      <c r="A752" t="s">
        <v>761</v>
      </c>
      <c r="B752" t="s">
        <v>1759</v>
      </c>
      <c r="C752" t="s">
        <v>2366</v>
      </c>
      <c r="D752" t="s">
        <v>2778</v>
      </c>
      <c r="E752" t="s">
        <v>2007</v>
      </c>
      <c r="F752">
        <v>16</v>
      </c>
      <c r="G752" t="s">
        <v>2009</v>
      </c>
      <c r="H752" t="s">
        <v>2016</v>
      </c>
      <c r="I752" t="s">
        <v>2022</v>
      </c>
      <c r="J752" t="s">
        <v>2024</v>
      </c>
      <c r="K752">
        <v>0</v>
      </c>
      <c r="L752" t="s">
        <v>2026</v>
      </c>
      <c r="M752" t="s">
        <v>2036</v>
      </c>
      <c r="N752" t="str">
        <f t="shared" si="22"/>
        <v>Fail</v>
      </c>
      <c r="O752" t="str">
        <f t="shared" si="23"/>
        <v>UnderAge</v>
      </c>
      <c r="P752" t="str" cm="1">
        <f t="array" ref="P752">_xlfn.IFS(K752&gt;90,"Excellent",K752&gt;80,"Very Good",K752&gt;70,"Good",K752&gt;=50,"Poor",K752&lt;50,"Fail")</f>
        <v>Fail</v>
      </c>
    </row>
    <row r="753" spans="1:16" x14ac:dyDescent="0.25">
      <c r="A753" t="s">
        <v>762</v>
      </c>
      <c r="B753" t="s">
        <v>1760</v>
      </c>
      <c r="C753" t="s">
        <v>2057</v>
      </c>
      <c r="D753" t="s">
        <v>2060</v>
      </c>
      <c r="E753" t="s">
        <v>2008</v>
      </c>
      <c r="F753">
        <v>16</v>
      </c>
      <c r="G753" t="s">
        <v>2010</v>
      </c>
      <c r="H753" t="s">
        <v>2017</v>
      </c>
      <c r="I753" t="s">
        <v>2020</v>
      </c>
      <c r="J753" t="s">
        <v>2023</v>
      </c>
      <c r="K753">
        <v>2</v>
      </c>
      <c r="L753" t="s">
        <v>2031</v>
      </c>
      <c r="M753" t="s">
        <v>2036</v>
      </c>
      <c r="N753" t="str">
        <f t="shared" si="22"/>
        <v>Fail</v>
      </c>
      <c r="O753" t="str">
        <f t="shared" si="23"/>
        <v>UnderAge</v>
      </c>
      <c r="P753" t="str" cm="1">
        <f t="array" ref="P753">_xlfn.IFS(K753&gt;90,"Excellent",K753&gt;80,"Very Good",K753&gt;70,"Good",K753&gt;=50,"Poor",K753&lt;50,"Fail")</f>
        <v>Fail</v>
      </c>
    </row>
    <row r="754" spans="1:16" x14ac:dyDescent="0.25">
      <c r="A754" t="s">
        <v>763</v>
      </c>
      <c r="B754" t="s">
        <v>1761</v>
      </c>
      <c r="C754" t="s">
        <v>2367</v>
      </c>
      <c r="D754" t="s">
        <v>2493</v>
      </c>
      <c r="E754" t="s">
        <v>2008</v>
      </c>
      <c r="F754">
        <v>15</v>
      </c>
      <c r="G754" t="s">
        <v>2013</v>
      </c>
      <c r="H754" t="s">
        <v>2016</v>
      </c>
      <c r="I754" t="s">
        <v>2021</v>
      </c>
      <c r="J754" t="s">
        <v>2023</v>
      </c>
      <c r="K754">
        <v>87</v>
      </c>
      <c r="L754" t="s">
        <v>2030</v>
      </c>
      <c r="M754" t="s">
        <v>2035</v>
      </c>
      <c r="N754" t="str">
        <f t="shared" si="22"/>
        <v>Pass</v>
      </c>
      <c r="O754" t="str">
        <f t="shared" si="23"/>
        <v>UnderAge</v>
      </c>
      <c r="P754" t="str" cm="1">
        <f t="array" ref="P754">_xlfn.IFS(K754&gt;90,"Excellent",K754&gt;80,"Very Good",K754&gt;70,"Good",K754&gt;=50,"Poor",K754&lt;50,"Fail")</f>
        <v>Very Good</v>
      </c>
    </row>
    <row r="755" spans="1:16" x14ac:dyDescent="0.25">
      <c r="A755" t="s">
        <v>764</v>
      </c>
      <c r="B755" t="s">
        <v>1762</v>
      </c>
      <c r="C755" t="s">
        <v>2083</v>
      </c>
      <c r="D755" t="s">
        <v>2651</v>
      </c>
      <c r="E755" t="s">
        <v>2007</v>
      </c>
      <c r="F755">
        <v>17</v>
      </c>
      <c r="G755" t="s">
        <v>2009</v>
      </c>
      <c r="H755" t="s">
        <v>2014</v>
      </c>
      <c r="I755" t="s">
        <v>2022</v>
      </c>
      <c r="J755" t="s">
        <v>2023</v>
      </c>
      <c r="K755">
        <v>81</v>
      </c>
      <c r="L755" t="s">
        <v>2026</v>
      </c>
      <c r="M755" t="s">
        <v>2035</v>
      </c>
      <c r="N755" t="str">
        <f t="shared" si="22"/>
        <v>Pass</v>
      </c>
      <c r="O755" t="str">
        <f t="shared" si="23"/>
        <v>UnderAge</v>
      </c>
      <c r="P755" t="str" cm="1">
        <f t="array" ref="P755">_xlfn.IFS(K755&gt;90,"Excellent",K755&gt;80,"Very Good",K755&gt;70,"Good",K755&gt;=50,"Poor",K755&lt;50,"Fail")</f>
        <v>Very Good</v>
      </c>
    </row>
    <row r="756" spans="1:16" x14ac:dyDescent="0.25">
      <c r="A756" t="s">
        <v>765</v>
      </c>
      <c r="B756" t="s">
        <v>1763</v>
      </c>
      <c r="C756" t="s">
        <v>2178</v>
      </c>
      <c r="D756" t="s">
        <v>2779</v>
      </c>
      <c r="E756" t="s">
        <v>2007</v>
      </c>
      <c r="F756">
        <v>18</v>
      </c>
      <c r="G756" t="s">
        <v>2013</v>
      </c>
      <c r="H756" t="s">
        <v>2017</v>
      </c>
      <c r="I756" t="s">
        <v>2021</v>
      </c>
      <c r="J756" t="s">
        <v>2023</v>
      </c>
      <c r="K756">
        <v>25</v>
      </c>
      <c r="L756" t="s">
        <v>2028</v>
      </c>
      <c r="M756" t="s">
        <v>2036</v>
      </c>
      <c r="N756" t="str">
        <f t="shared" si="22"/>
        <v>Fail</v>
      </c>
      <c r="O756" t="str">
        <f t="shared" si="23"/>
        <v>Adult</v>
      </c>
      <c r="P756" t="str" cm="1">
        <f t="array" ref="P756">_xlfn.IFS(K756&gt;90,"Excellent",K756&gt;80,"Very Good",K756&gt;70,"Good",K756&gt;=50,"Poor",K756&lt;50,"Fail")</f>
        <v>Fail</v>
      </c>
    </row>
    <row r="757" spans="1:16" x14ac:dyDescent="0.25">
      <c r="A757" t="s">
        <v>766</v>
      </c>
      <c r="B757" t="s">
        <v>1764</v>
      </c>
      <c r="C757" t="s">
        <v>2236</v>
      </c>
      <c r="D757" t="s">
        <v>2579</v>
      </c>
      <c r="E757" t="s">
        <v>2008</v>
      </c>
      <c r="F757">
        <v>16</v>
      </c>
      <c r="G757" t="s">
        <v>2009</v>
      </c>
      <c r="H757" t="s">
        <v>2015</v>
      </c>
      <c r="I757" t="s">
        <v>2021</v>
      </c>
      <c r="J757" t="s">
        <v>2023</v>
      </c>
      <c r="K757">
        <v>26</v>
      </c>
      <c r="L757" t="s">
        <v>2026</v>
      </c>
      <c r="M757" t="s">
        <v>2036</v>
      </c>
      <c r="N757" t="str">
        <f t="shared" si="22"/>
        <v>Fail</v>
      </c>
      <c r="O757" t="str">
        <f t="shared" si="23"/>
        <v>UnderAge</v>
      </c>
      <c r="P757" t="str" cm="1">
        <f t="array" ref="P757">_xlfn.IFS(K757&gt;90,"Excellent",K757&gt;80,"Very Good",K757&gt;70,"Good",K757&gt;=50,"Poor",K757&lt;50,"Fail")</f>
        <v>Fail</v>
      </c>
    </row>
    <row r="758" spans="1:16" x14ac:dyDescent="0.25">
      <c r="A758" t="s">
        <v>767</v>
      </c>
      <c r="B758" t="s">
        <v>1765</v>
      </c>
      <c r="C758" t="s">
        <v>2083</v>
      </c>
      <c r="D758" t="s">
        <v>2780</v>
      </c>
      <c r="E758" t="s">
        <v>2007</v>
      </c>
      <c r="F758">
        <v>15</v>
      </c>
      <c r="G758" t="s">
        <v>2012</v>
      </c>
      <c r="H758" t="s">
        <v>2016</v>
      </c>
      <c r="I758" t="s">
        <v>2018</v>
      </c>
      <c r="J758" t="s">
        <v>2024</v>
      </c>
      <c r="K758">
        <v>54</v>
      </c>
      <c r="L758" t="s">
        <v>2030</v>
      </c>
      <c r="M758" t="s">
        <v>2035</v>
      </c>
      <c r="N758" t="str">
        <f t="shared" si="22"/>
        <v>Pass</v>
      </c>
      <c r="O758" t="str">
        <f t="shared" si="23"/>
        <v>UnderAge</v>
      </c>
      <c r="P758" t="str" cm="1">
        <f t="array" ref="P758">_xlfn.IFS(K758&gt;90,"Excellent",K758&gt;80,"Very Good",K758&gt;70,"Good",K758&gt;=50,"Poor",K758&lt;50,"Fail")</f>
        <v>Poor</v>
      </c>
    </row>
    <row r="759" spans="1:16" x14ac:dyDescent="0.25">
      <c r="A759" t="s">
        <v>768</v>
      </c>
      <c r="B759" t="s">
        <v>1766</v>
      </c>
      <c r="C759" t="s">
        <v>2368</v>
      </c>
      <c r="D759" t="s">
        <v>2645</v>
      </c>
      <c r="E759" t="s">
        <v>2007</v>
      </c>
      <c r="F759">
        <v>18</v>
      </c>
      <c r="G759" t="s">
        <v>2012</v>
      </c>
      <c r="H759" t="s">
        <v>2017</v>
      </c>
      <c r="I759" t="s">
        <v>2022</v>
      </c>
      <c r="J759" t="s">
        <v>2023</v>
      </c>
      <c r="K759">
        <v>38</v>
      </c>
      <c r="L759" t="s">
        <v>2028</v>
      </c>
      <c r="M759" t="s">
        <v>2036</v>
      </c>
      <c r="N759" t="str">
        <f t="shared" si="22"/>
        <v>Fail</v>
      </c>
      <c r="O759" t="str">
        <f t="shared" si="23"/>
        <v>Adult</v>
      </c>
      <c r="P759" t="str" cm="1">
        <f t="array" ref="P759">_xlfn.IFS(K759&gt;90,"Excellent",K759&gt;80,"Very Good",K759&gt;70,"Good",K759&gt;=50,"Poor",K759&lt;50,"Fail")</f>
        <v>Fail</v>
      </c>
    </row>
    <row r="760" spans="1:16" x14ac:dyDescent="0.25">
      <c r="A760" t="s">
        <v>769</v>
      </c>
      <c r="B760" t="s">
        <v>1767</v>
      </c>
      <c r="C760" t="s">
        <v>2072</v>
      </c>
      <c r="D760" t="s">
        <v>2761</v>
      </c>
      <c r="E760" t="s">
        <v>2007</v>
      </c>
      <c r="F760">
        <v>17</v>
      </c>
      <c r="G760" t="s">
        <v>2010</v>
      </c>
      <c r="H760" t="s">
        <v>2016</v>
      </c>
      <c r="I760" t="s">
        <v>2021</v>
      </c>
      <c r="J760" t="s">
        <v>2023</v>
      </c>
      <c r="K760">
        <v>18</v>
      </c>
      <c r="L760" t="s">
        <v>2034</v>
      </c>
      <c r="M760" t="s">
        <v>2036</v>
      </c>
      <c r="N760" t="str">
        <f t="shared" si="22"/>
        <v>Fail</v>
      </c>
      <c r="O760" t="str">
        <f t="shared" si="23"/>
        <v>UnderAge</v>
      </c>
      <c r="P760" t="str" cm="1">
        <f t="array" ref="P760">_xlfn.IFS(K760&gt;90,"Excellent",K760&gt;80,"Very Good",K760&gt;70,"Good",K760&gt;=50,"Poor",K760&lt;50,"Fail")</f>
        <v>Fail</v>
      </c>
    </row>
    <row r="761" spans="1:16" x14ac:dyDescent="0.25">
      <c r="A761" t="s">
        <v>770</v>
      </c>
      <c r="B761" t="s">
        <v>1768</v>
      </c>
      <c r="C761" t="s">
        <v>2065</v>
      </c>
      <c r="D761" t="s">
        <v>2781</v>
      </c>
      <c r="E761" t="s">
        <v>2008</v>
      </c>
      <c r="F761">
        <v>15</v>
      </c>
      <c r="G761" t="s">
        <v>2011</v>
      </c>
      <c r="H761" t="s">
        <v>2017</v>
      </c>
      <c r="I761" t="s">
        <v>2022</v>
      </c>
      <c r="J761" t="s">
        <v>2024</v>
      </c>
      <c r="K761">
        <v>18</v>
      </c>
      <c r="L761" t="s">
        <v>2033</v>
      </c>
      <c r="M761" t="s">
        <v>2036</v>
      </c>
      <c r="N761" t="str">
        <f t="shared" si="22"/>
        <v>Fail</v>
      </c>
      <c r="O761" t="str">
        <f t="shared" si="23"/>
        <v>UnderAge</v>
      </c>
      <c r="P761" t="str" cm="1">
        <f t="array" ref="P761">_xlfn.IFS(K761&gt;90,"Excellent",K761&gt;80,"Very Good",K761&gt;70,"Good",K761&gt;=50,"Poor",K761&lt;50,"Fail")</f>
        <v>Fail</v>
      </c>
    </row>
    <row r="762" spans="1:16" x14ac:dyDescent="0.25">
      <c r="A762" t="s">
        <v>771</v>
      </c>
      <c r="B762" t="s">
        <v>1769</v>
      </c>
      <c r="C762" t="s">
        <v>2103</v>
      </c>
      <c r="D762" t="s">
        <v>2687</v>
      </c>
      <c r="E762" t="s">
        <v>2008</v>
      </c>
      <c r="F762">
        <v>17</v>
      </c>
      <c r="G762" t="s">
        <v>2012</v>
      </c>
      <c r="H762" t="s">
        <v>2014</v>
      </c>
      <c r="I762" t="s">
        <v>2021</v>
      </c>
      <c r="J762" t="s">
        <v>2023</v>
      </c>
      <c r="K762">
        <v>9</v>
      </c>
      <c r="L762" t="s">
        <v>2030</v>
      </c>
      <c r="M762" t="s">
        <v>2036</v>
      </c>
      <c r="N762" t="str">
        <f t="shared" si="22"/>
        <v>Fail</v>
      </c>
      <c r="O762" t="str">
        <f t="shared" si="23"/>
        <v>UnderAge</v>
      </c>
      <c r="P762" t="str" cm="1">
        <f t="array" ref="P762">_xlfn.IFS(K762&gt;90,"Excellent",K762&gt;80,"Very Good",K762&gt;70,"Good",K762&gt;=50,"Poor",K762&lt;50,"Fail")</f>
        <v>Fail</v>
      </c>
    </row>
    <row r="763" spans="1:16" x14ac:dyDescent="0.25">
      <c r="A763" t="s">
        <v>772</v>
      </c>
      <c r="B763" t="s">
        <v>1770</v>
      </c>
      <c r="C763" t="s">
        <v>2135</v>
      </c>
      <c r="D763" t="s">
        <v>2697</v>
      </c>
      <c r="E763" t="s">
        <v>2007</v>
      </c>
      <c r="F763">
        <v>14</v>
      </c>
      <c r="G763" t="s">
        <v>2010</v>
      </c>
      <c r="H763" t="s">
        <v>2014</v>
      </c>
      <c r="I763" t="s">
        <v>2019</v>
      </c>
      <c r="J763" t="s">
        <v>2023</v>
      </c>
      <c r="K763">
        <v>81</v>
      </c>
      <c r="L763" t="s">
        <v>2030</v>
      </c>
      <c r="M763" t="s">
        <v>2035</v>
      </c>
      <c r="N763" t="str">
        <f t="shared" si="22"/>
        <v>Pass</v>
      </c>
      <c r="O763" t="str">
        <f t="shared" si="23"/>
        <v>UnderAge</v>
      </c>
      <c r="P763" t="str" cm="1">
        <f t="array" ref="P763">_xlfn.IFS(K763&gt;90,"Excellent",K763&gt;80,"Very Good",K763&gt;70,"Good",K763&gt;=50,"Poor",K763&lt;50,"Fail")</f>
        <v>Very Good</v>
      </c>
    </row>
    <row r="764" spans="1:16" x14ac:dyDescent="0.25">
      <c r="A764" t="s">
        <v>773</v>
      </c>
      <c r="B764" t="s">
        <v>1771</v>
      </c>
      <c r="C764" t="s">
        <v>2202</v>
      </c>
      <c r="D764" t="s">
        <v>2782</v>
      </c>
      <c r="E764" t="s">
        <v>2008</v>
      </c>
      <c r="F764">
        <v>18</v>
      </c>
      <c r="G764" t="s">
        <v>2012</v>
      </c>
      <c r="H764" t="s">
        <v>2016</v>
      </c>
      <c r="I764" t="s">
        <v>2020</v>
      </c>
      <c r="J764" t="s">
        <v>2023</v>
      </c>
      <c r="K764">
        <v>95</v>
      </c>
      <c r="L764" t="s">
        <v>2030</v>
      </c>
      <c r="M764" t="s">
        <v>2035</v>
      </c>
      <c r="N764" t="str">
        <f t="shared" si="22"/>
        <v>Pass</v>
      </c>
      <c r="O764" t="str">
        <f t="shared" si="23"/>
        <v>Adult</v>
      </c>
      <c r="P764" t="str" cm="1">
        <f t="array" ref="P764">_xlfn.IFS(K764&gt;90,"Excellent",K764&gt;80,"Very Good",K764&gt;70,"Good",K764&gt;=50,"Poor",K764&lt;50,"Fail")</f>
        <v>Excellent</v>
      </c>
    </row>
    <row r="765" spans="1:16" x14ac:dyDescent="0.25">
      <c r="A765" t="s">
        <v>774</v>
      </c>
      <c r="B765" t="s">
        <v>1772</v>
      </c>
      <c r="C765" t="s">
        <v>2120</v>
      </c>
      <c r="D765" t="s">
        <v>2783</v>
      </c>
      <c r="E765" t="s">
        <v>2007</v>
      </c>
      <c r="F765">
        <v>14</v>
      </c>
      <c r="G765" t="s">
        <v>2012</v>
      </c>
      <c r="H765" t="s">
        <v>2016</v>
      </c>
      <c r="I765" t="s">
        <v>2018</v>
      </c>
      <c r="J765" t="s">
        <v>2023</v>
      </c>
      <c r="K765">
        <v>49</v>
      </c>
      <c r="L765" t="s">
        <v>2032</v>
      </c>
      <c r="M765" t="s">
        <v>2036</v>
      </c>
      <c r="N765" t="str">
        <f t="shared" si="22"/>
        <v>Fail</v>
      </c>
      <c r="O765" t="str">
        <f t="shared" si="23"/>
        <v>UnderAge</v>
      </c>
      <c r="P765" t="str" cm="1">
        <f t="array" ref="P765">_xlfn.IFS(K765&gt;90,"Excellent",K765&gt;80,"Very Good",K765&gt;70,"Good",K765&gt;=50,"Poor",K765&lt;50,"Fail")</f>
        <v>Fail</v>
      </c>
    </row>
    <row r="766" spans="1:16" x14ac:dyDescent="0.25">
      <c r="A766" t="s">
        <v>775</v>
      </c>
      <c r="B766" t="s">
        <v>1773</v>
      </c>
      <c r="C766" t="s">
        <v>2089</v>
      </c>
      <c r="D766" t="s">
        <v>2335</v>
      </c>
      <c r="E766" t="s">
        <v>2008</v>
      </c>
      <c r="F766">
        <v>17</v>
      </c>
      <c r="G766" t="s">
        <v>2013</v>
      </c>
      <c r="H766" t="s">
        <v>2015</v>
      </c>
      <c r="I766" t="s">
        <v>2018</v>
      </c>
      <c r="J766" t="s">
        <v>2024</v>
      </c>
      <c r="K766">
        <v>69</v>
      </c>
      <c r="L766" t="s">
        <v>2026</v>
      </c>
      <c r="M766" t="s">
        <v>2035</v>
      </c>
      <c r="N766" t="str">
        <f t="shared" si="22"/>
        <v>Pass</v>
      </c>
      <c r="O766" t="str">
        <f t="shared" si="23"/>
        <v>UnderAge</v>
      </c>
      <c r="P766" t="str" cm="1">
        <f t="array" ref="P766">_xlfn.IFS(K766&gt;90,"Excellent",K766&gt;80,"Very Good",K766&gt;70,"Good",K766&gt;=50,"Poor",K766&lt;50,"Fail")</f>
        <v>Poor</v>
      </c>
    </row>
    <row r="767" spans="1:16" x14ac:dyDescent="0.25">
      <c r="A767" t="s">
        <v>776</v>
      </c>
      <c r="B767" t="s">
        <v>1774</v>
      </c>
      <c r="C767" t="s">
        <v>2180</v>
      </c>
      <c r="D767" t="s">
        <v>2784</v>
      </c>
      <c r="E767" t="s">
        <v>2008</v>
      </c>
      <c r="F767">
        <v>16</v>
      </c>
      <c r="G767" t="s">
        <v>2011</v>
      </c>
      <c r="H767" t="s">
        <v>2016</v>
      </c>
      <c r="I767" t="s">
        <v>2019</v>
      </c>
      <c r="J767" t="s">
        <v>2024</v>
      </c>
      <c r="K767">
        <v>72</v>
      </c>
      <c r="L767" t="s">
        <v>2028</v>
      </c>
      <c r="M767" t="s">
        <v>2035</v>
      </c>
      <c r="N767" t="str">
        <f t="shared" si="22"/>
        <v>Pass</v>
      </c>
      <c r="O767" t="str">
        <f t="shared" si="23"/>
        <v>UnderAge</v>
      </c>
      <c r="P767" t="str" cm="1">
        <f t="array" ref="P767">_xlfn.IFS(K767&gt;90,"Excellent",K767&gt;80,"Very Good",K767&gt;70,"Good",K767&gt;=50,"Poor",K767&lt;50,"Fail")</f>
        <v>Good</v>
      </c>
    </row>
    <row r="768" spans="1:16" x14ac:dyDescent="0.25">
      <c r="A768" t="s">
        <v>777</v>
      </c>
      <c r="B768" t="s">
        <v>1775</v>
      </c>
      <c r="C768" t="s">
        <v>2369</v>
      </c>
      <c r="D768" t="s">
        <v>2437</v>
      </c>
      <c r="E768" t="s">
        <v>2008</v>
      </c>
      <c r="F768">
        <v>15</v>
      </c>
      <c r="G768" t="s">
        <v>2013</v>
      </c>
      <c r="H768" t="s">
        <v>2015</v>
      </c>
      <c r="I768" t="s">
        <v>2021</v>
      </c>
      <c r="J768" t="s">
        <v>2023</v>
      </c>
      <c r="K768">
        <v>95</v>
      </c>
      <c r="L768" t="s">
        <v>2030</v>
      </c>
      <c r="M768" t="s">
        <v>2035</v>
      </c>
      <c r="N768" t="str">
        <f t="shared" si="22"/>
        <v>Pass</v>
      </c>
      <c r="O768" t="str">
        <f t="shared" si="23"/>
        <v>UnderAge</v>
      </c>
      <c r="P768" t="str" cm="1">
        <f t="array" ref="P768">_xlfn.IFS(K768&gt;90,"Excellent",K768&gt;80,"Very Good",K768&gt;70,"Good",K768&gt;=50,"Poor",K768&lt;50,"Fail")</f>
        <v>Excellent</v>
      </c>
    </row>
    <row r="769" spans="1:16" x14ac:dyDescent="0.25">
      <c r="A769" t="s">
        <v>778</v>
      </c>
      <c r="B769" t="s">
        <v>1776</v>
      </c>
      <c r="C769" t="s">
        <v>2355</v>
      </c>
      <c r="D769" t="s">
        <v>2539</v>
      </c>
      <c r="E769" t="s">
        <v>2008</v>
      </c>
      <c r="F769">
        <v>17</v>
      </c>
      <c r="G769" t="s">
        <v>2013</v>
      </c>
      <c r="H769" t="s">
        <v>2017</v>
      </c>
      <c r="I769" t="s">
        <v>2018</v>
      </c>
      <c r="J769" t="s">
        <v>2023</v>
      </c>
      <c r="K769">
        <v>57</v>
      </c>
      <c r="L769" t="s">
        <v>2025</v>
      </c>
      <c r="M769" t="s">
        <v>2035</v>
      </c>
      <c r="N769" t="str">
        <f t="shared" si="22"/>
        <v>Pass</v>
      </c>
      <c r="O769" t="str">
        <f t="shared" si="23"/>
        <v>UnderAge</v>
      </c>
      <c r="P769" t="str" cm="1">
        <f t="array" ref="P769">_xlfn.IFS(K769&gt;90,"Excellent",K769&gt;80,"Very Good",K769&gt;70,"Good",K769&gt;=50,"Poor",K769&lt;50,"Fail")</f>
        <v>Poor</v>
      </c>
    </row>
    <row r="770" spans="1:16" x14ac:dyDescent="0.25">
      <c r="A770" t="s">
        <v>779</v>
      </c>
      <c r="B770" t="s">
        <v>1777</v>
      </c>
      <c r="C770" t="s">
        <v>2079</v>
      </c>
      <c r="D770" t="s">
        <v>2523</v>
      </c>
      <c r="E770" t="s">
        <v>2007</v>
      </c>
      <c r="F770">
        <v>16</v>
      </c>
      <c r="G770" t="s">
        <v>2009</v>
      </c>
      <c r="H770" t="s">
        <v>2017</v>
      </c>
      <c r="I770" t="s">
        <v>2019</v>
      </c>
      <c r="J770" t="s">
        <v>2023</v>
      </c>
      <c r="K770">
        <v>35</v>
      </c>
      <c r="L770" t="s">
        <v>2033</v>
      </c>
      <c r="M770" t="s">
        <v>2036</v>
      </c>
      <c r="N770" t="str">
        <f t="shared" si="22"/>
        <v>Fail</v>
      </c>
      <c r="O770" t="str">
        <f t="shared" si="23"/>
        <v>UnderAge</v>
      </c>
      <c r="P770" t="str" cm="1">
        <f t="array" ref="P770">_xlfn.IFS(K770&gt;90,"Excellent",K770&gt;80,"Very Good",K770&gt;70,"Good",K770&gt;=50,"Poor",K770&lt;50,"Fail")</f>
        <v>Fail</v>
      </c>
    </row>
    <row r="771" spans="1:16" x14ac:dyDescent="0.25">
      <c r="A771" t="s">
        <v>780</v>
      </c>
      <c r="B771" t="s">
        <v>1778</v>
      </c>
      <c r="C771" t="s">
        <v>2370</v>
      </c>
      <c r="D771" t="s">
        <v>2417</v>
      </c>
      <c r="E771" t="s">
        <v>2007</v>
      </c>
      <c r="F771">
        <v>15</v>
      </c>
      <c r="G771" t="s">
        <v>2009</v>
      </c>
      <c r="H771" t="s">
        <v>2015</v>
      </c>
      <c r="I771" t="s">
        <v>2021</v>
      </c>
      <c r="J771" t="s">
        <v>2024</v>
      </c>
      <c r="K771">
        <v>11</v>
      </c>
      <c r="L771" t="s">
        <v>2026</v>
      </c>
      <c r="M771" t="s">
        <v>2036</v>
      </c>
      <c r="N771" t="str">
        <f t="shared" ref="N771:N834" si="24">IF(K771&gt;=50,"Pass","Fail")</f>
        <v>Fail</v>
      </c>
      <c r="O771" t="str">
        <f t="shared" ref="O771:O834" si="25">IF(F771&gt;=18,"Adult","UnderAge")</f>
        <v>UnderAge</v>
      </c>
      <c r="P771" t="str" cm="1">
        <f t="array" ref="P771">_xlfn.IFS(K771&gt;90,"Excellent",K771&gt;80,"Very Good",K771&gt;70,"Good",K771&gt;=50,"Poor",K771&lt;50,"Fail")</f>
        <v>Fail</v>
      </c>
    </row>
    <row r="772" spans="1:16" x14ac:dyDescent="0.25">
      <c r="A772" t="s">
        <v>781</v>
      </c>
      <c r="B772" t="s">
        <v>1779</v>
      </c>
      <c r="C772" t="s">
        <v>2371</v>
      </c>
      <c r="D772" t="s">
        <v>2785</v>
      </c>
      <c r="E772" t="s">
        <v>2007</v>
      </c>
      <c r="F772">
        <v>18</v>
      </c>
      <c r="G772" t="s">
        <v>2012</v>
      </c>
      <c r="H772" t="s">
        <v>2017</v>
      </c>
      <c r="I772" t="s">
        <v>2022</v>
      </c>
      <c r="J772" t="s">
        <v>2023</v>
      </c>
      <c r="K772">
        <v>57</v>
      </c>
      <c r="L772" t="s">
        <v>2031</v>
      </c>
      <c r="M772" t="s">
        <v>2035</v>
      </c>
      <c r="N772" t="str">
        <f t="shared" si="24"/>
        <v>Pass</v>
      </c>
      <c r="O772" t="str">
        <f t="shared" si="25"/>
        <v>Adult</v>
      </c>
      <c r="P772" t="str" cm="1">
        <f t="array" ref="P772">_xlfn.IFS(K772&gt;90,"Excellent",K772&gt;80,"Very Good",K772&gt;70,"Good",K772&gt;=50,"Poor",K772&lt;50,"Fail")</f>
        <v>Poor</v>
      </c>
    </row>
    <row r="773" spans="1:16" x14ac:dyDescent="0.25">
      <c r="A773" t="s">
        <v>782</v>
      </c>
      <c r="B773" t="s">
        <v>1780</v>
      </c>
      <c r="C773" t="s">
        <v>2351</v>
      </c>
      <c r="D773" t="s">
        <v>2786</v>
      </c>
      <c r="E773" t="s">
        <v>2007</v>
      </c>
      <c r="F773">
        <v>15</v>
      </c>
      <c r="G773" t="s">
        <v>2009</v>
      </c>
      <c r="H773" t="s">
        <v>2015</v>
      </c>
      <c r="I773" t="s">
        <v>2021</v>
      </c>
      <c r="J773" t="s">
        <v>2023</v>
      </c>
      <c r="K773">
        <v>43</v>
      </c>
      <c r="L773" t="s">
        <v>2027</v>
      </c>
      <c r="M773" t="s">
        <v>2036</v>
      </c>
      <c r="N773" t="str">
        <f t="shared" si="24"/>
        <v>Fail</v>
      </c>
      <c r="O773" t="str">
        <f t="shared" si="25"/>
        <v>UnderAge</v>
      </c>
      <c r="P773" t="str" cm="1">
        <f t="array" ref="P773">_xlfn.IFS(K773&gt;90,"Excellent",K773&gt;80,"Very Good",K773&gt;70,"Good",K773&gt;=50,"Poor",K773&lt;50,"Fail")</f>
        <v>Fail</v>
      </c>
    </row>
    <row r="774" spans="1:16" x14ac:dyDescent="0.25">
      <c r="A774" t="s">
        <v>783</v>
      </c>
      <c r="B774" t="s">
        <v>1781</v>
      </c>
      <c r="C774" t="s">
        <v>2072</v>
      </c>
      <c r="D774" t="s">
        <v>2650</v>
      </c>
      <c r="E774" t="s">
        <v>2008</v>
      </c>
      <c r="F774">
        <v>14</v>
      </c>
      <c r="G774" t="s">
        <v>2011</v>
      </c>
      <c r="H774" t="s">
        <v>2016</v>
      </c>
      <c r="I774" t="s">
        <v>2022</v>
      </c>
      <c r="J774" t="s">
        <v>2023</v>
      </c>
      <c r="K774">
        <v>94</v>
      </c>
      <c r="L774" t="s">
        <v>2033</v>
      </c>
      <c r="M774" t="s">
        <v>2035</v>
      </c>
      <c r="N774" t="str">
        <f t="shared" si="24"/>
        <v>Pass</v>
      </c>
      <c r="O774" t="str">
        <f t="shared" si="25"/>
        <v>UnderAge</v>
      </c>
      <c r="P774" t="str" cm="1">
        <f t="array" ref="P774">_xlfn.IFS(K774&gt;90,"Excellent",K774&gt;80,"Very Good",K774&gt;70,"Good",K774&gt;=50,"Poor",K774&lt;50,"Fail")</f>
        <v>Excellent</v>
      </c>
    </row>
    <row r="775" spans="1:16" x14ac:dyDescent="0.25">
      <c r="A775" t="s">
        <v>784</v>
      </c>
      <c r="B775" t="s">
        <v>1782</v>
      </c>
      <c r="C775" t="s">
        <v>2372</v>
      </c>
      <c r="D775" t="s">
        <v>2466</v>
      </c>
      <c r="E775" t="s">
        <v>2008</v>
      </c>
      <c r="F775">
        <v>17</v>
      </c>
      <c r="G775" t="s">
        <v>2012</v>
      </c>
      <c r="H775" t="s">
        <v>2017</v>
      </c>
      <c r="I775" t="s">
        <v>2022</v>
      </c>
      <c r="J775" t="s">
        <v>2023</v>
      </c>
      <c r="K775">
        <v>86</v>
      </c>
      <c r="L775" t="s">
        <v>2033</v>
      </c>
      <c r="M775" t="s">
        <v>2035</v>
      </c>
      <c r="N775" t="str">
        <f t="shared" si="24"/>
        <v>Pass</v>
      </c>
      <c r="O775" t="str">
        <f t="shared" si="25"/>
        <v>UnderAge</v>
      </c>
      <c r="P775" t="str" cm="1">
        <f t="array" ref="P775">_xlfn.IFS(K775&gt;90,"Excellent",K775&gt;80,"Very Good",K775&gt;70,"Good",K775&gt;=50,"Poor",K775&lt;50,"Fail")</f>
        <v>Very Good</v>
      </c>
    </row>
    <row r="776" spans="1:16" x14ac:dyDescent="0.25">
      <c r="A776" t="s">
        <v>785</v>
      </c>
      <c r="B776" t="s">
        <v>1783</v>
      </c>
      <c r="C776" t="s">
        <v>2160</v>
      </c>
      <c r="D776" t="s">
        <v>2482</v>
      </c>
      <c r="E776" t="s">
        <v>2007</v>
      </c>
      <c r="F776">
        <v>18</v>
      </c>
      <c r="G776" t="s">
        <v>2010</v>
      </c>
      <c r="H776" t="s">
        <v>2014</v>
      </c>
      <c r="I776" t="s">
        <v>2021</v>
      </c>
      <c r="J776" t="s">
        <v>2024</v>
      </c>
      <c r="K776">
        <v>43</v>
      </c>
      <c r="L776" t="s">
        <v>2031</v>
      </c>
      <c r="M776" t="s">
        <v>2036</v>
      </c>
      <c r="N776" t="str">
        <f t="shared" si="24"/>
        <v>Fail</v>
      </c>
      <c r="O776" t="str">
        <f t="shared" si="25"/>
        <v>Adult</v>
      </c>
      <c r="P776" t="str" cm="1">
        <f t="array" ref="P776">_xlfn.IFS(K776&gt;90,"Excellent",K776&gt;80,"Very Good",K776&gt;70,"Good",K776&gt;=50,"Poor",K776&lt;50,"Fail")</f>
        <v>Fail</v>
      </c>
    </row>
    <row r="777" spans="1:16" x14ac:dyDescent="0.25">
      <c r="A777" t="s">
        <v>786</v>
      </c>
      <c r="B777" t="s">
        <v>1784</v>
      </c>
      <c r="C777" t="s">
        <v>2171</v>
      </c>
      <c r="D777" t="s">
        <v>2719</v>
      </c>
      <c r="E777" t="s">
        <v>2007</v>
      </c>
      <c r="F777">
        <v>17</v>
      </c>
      <c r="G777" t="s">
        <v>2010</v>
      </c>
      <c r="H777" t="s">
        <v>2016</v>
      </c>
      <c r="I777" t="s">
        <v>2022</v>
      </c>
      <c r="J777" t="s">
        <v>2023</v>
      </c>
      <c r="K777">
        <v>87</v>
      </c>
      <c r="L777" t="s">
        <v>2026</v>
      </c>
      <c r="M777" t="s">
        <v>2035</v>
      </c>
      <c r="N777" t="str">
        <f t="shared" si="24"/>
        <v>Pass</v>
      </c>
      <c r="O777" t="str">
        <f t="shared" si="25"/>
        <v>UnderAge</v>
      </c>
      <c r="P777" t="str" cm="1">
        <f t="array" ref="P777">_xlfn.IFS(K777&gt;90,"Excellent",K777&gt;80,"Very Good",K777&gt;70,"Good",K777&gt;=50,"Poor",K777&lt;50,"Fail")</f>
        <v>Very Good</v>
      </c>
    </row>
    <row r="778" spans="1:16" x14ac:dyDescent="0.25">
      <c r="A778" t="s">
        <v>787</v>
      </c>
      <c r="B778" t="s">
        <v>1785</v>
      </c>
      <c r="C778" t="s">
        <v>2160</v>
      </c>
      <c r="D778" t="s">
        <v>2740</v>
      </c>
      <c r="E778" t="s">
        <v>2008</v>
      </c>
      <c r="F778">
        <v>14</v>
      </c>
      <c r="G778" t="s">
        <v>2013</v>
      </c>
      <c r="H778" t="s">
        <v>2017</v>
      </c>
      <c r="I778" t="s">
        <v>2019</v>
      </c>
      <c r="J778" t="s">
        <v>2024</v>
      </c>
      <c r="K778">
        <v>28</v>
      </c>
      <c r="L778" t="s">
        <v>2032</v>
      </c>
      <c r="M778" t="s">
        <v>2036</v>
      </c>
      <c r="N778" t="str">
        <f t="shared" si="24"/>
        <v>Fail</v>
      </c>
      <c r="O778" t="str">
        <f t="shared" si="25"/>
        <v>UnderAge</v>
      </c>
      <c r="P778" t="str" cm="1">
        <f t="array" ref="P778">_xlfn.IFS(K778&gt;90,"Excellent",K778&gt;80,"Very Good",K778&gt;70,"Good",K778&gt;=50,"Poor",K778&lt;50,"Fail")</f>
        <v>Fail</v>
      </c>
    </row>
    <row r="779" spans="1:16" x14ac:dyDescent="0.25">
      <c r="A779" t="s">
        <v>788</v>
      </c>
      <c r="B779" t="s">
        <v>1786</v>
      </c>
      <c r="C779" t="s">
        <v>2095</v>
      </c>
      <c r="D779" t="s">
        <v>2787</v>
      </c>
      <c r="E779" t="s">
        <v>2007</v>
      </c>
      <c r="F779">
        <v>18</v>
      </c>
      <c r="G779" t="s">
        <v>2013</v>
      </c>
      <c r="H779" t="s">
        <v>2016</v>
      </c>
      <c r="I779" t="s">
        <v>2019</v>
      </c>
      <c r="J779" t="s">
        <v>2024</v>
      </c>
      <c r="K779">
        <v>3</v>
      </c>
      <c r="L779" t="s">
        <v>2027</v>
      </c>
      <c r="M779" t="s">
        <v>2036</v>
      </c>
      <c r="N779" t="str">
        <f t="shared" si="24"/>
        <v>Fail</v>
      </c>
      <c r="O779" t="str">
        <f t="shared" si="25"/>
        <v>Adult</v>
      </c>
      <c r="P779" t="str" cm="1">
        <f t="array" ref="P779">_xlfn.IFS(K779&gt;90,"Excellent",K779&gt;80,"Very Good",K779&gt;70,"Good",K779&gt;=50,"Poor",K779&lt;50,"Fail")</f>
        <v>Fail</v>
      </c>
    </row>
    <row r="780" spans="1:16" x14ac:dyDescent="0.25">
      <c r="A780" t="s">
        <v>789</v>
      </c>
      <c r="B780" t="s">
        <v>1787</v>
      </c>
      <c r="C780" t="s">
        <v>2373</v>
      </c>
      <c r="D780" t="s">
        <v>2638</v>
      </c>
      <c r="E780" t="s">
        <v>2008</v>
      </c>
      <c r="F780">
        <v>18</v>
      </c>
      <c r="G780" t="s">
        <v>2012</v>
      </c>
      <c r="H780" t="s">
        <v>2014</v>
      </c>
      <c r="I780" t="s">
        <v>2020</v>
      </c>
      <c r="J780" t="s">
        <v>2023</v>
      </c>
      <c r="K780">
        <v>16</v>
      </c>
      <c r="L780" t="s">
        <v>2033</v>
      </c>
      <c r="M780" t="s">
        <v>2036</v>
      </c>
      <c r="N780" t="str">
        <f t="shared" si="24"/>
        <v>Fail</v>
      </c>
      <c r="O780" t="str">
        <f t="shared" si="25"/>
        <v>Adult</v>
      </c>
      <c r="P780" t="str" cm="1">
        <f t="array" ref="P780">_xlfn.IFS(K780&gt;90,"Excellent",K780&gt;80,"Very Good",K780&gt;70,"Good",K780&gt;=50,"Poor",K780&lt;50,"Fail")</f>
        <v>Fail</v>
      </c>
    </row>
    <row r="781" spans="1:16" x14ac:dyDescent="0.25">
      <c r="A781" t="s">
        <v>790</v>
      </c>
      <c r="B781" t="s">
        <v>1788</v>
      </c>
      <c r="C781" t="s">
        <v>2306</v>
      </c>
      <c r="D781" t="s">
        <v>2788</v>
      </c>
      <c r="E781" t="s">
        <v>2007</v>
      </c>
      <c r="F781">
        <v>18</v>
      </c>
      <c r="G781" t="s">
        <v>2009</v>
      </c>
      <c r="H781" t="s">
        <v>2014</v>
      </c>
      <c r="I781" t="s">
        <v>2022</v>
      </c>
      <c r="J781" t="s">
        <v>2024</v>
      </c>
      <c r="K781">
        <v>75</v>
      </c>
      <c r="L781" t="s">
        <v>2033</v>
      </c>
      <c r="M781" t="s">
        <v>2035</v>
      </c>
      <c r="N781" t="str">
        <f t="shared" si="24"/>
        <v>Pass</v>
      </c>
      <c r="O781" t="str">
        <f t="shared" si="25"/>
        <v>Adult</v>
      </c>
      <c r="P781" t="str" cm="1">
        <f t="array" ref="P781">_xlfn.IFS(K781&gt;90,"Excellent",K781&gt;80,"Very Good",K781&gt;70,"Good",K781&gt;=50,"Poor",K781&lt;50,"Fail")</f>
        <v>Good</v>
      </c>
    </row>
    <row r="782" spans="1:16" x14ac:dyDescent="0.25">
      <c r="A782" t="s">
        <v>791</v>
      </c>
      <c r="B782" t="s">
        <v>1789</v>
      </c>
      <c r="C782" t="s">
        <v>2187</v>
      </c>
      <c r="D782" t="s">
        <v>2415</v>
      </c>
      <c r="E782" t="s">
        <v>2007</v>
      </c>
      <c r="F782">
        <v>16</v>
      </c>
      <c r="G782" t="s">
        <v>2010</v>
      </c>
      <c r="H782" t="s">
        <v>2016</v>
      </c>
      <c r="I782" t="s">
        <v>2021</v>
      </c>
      <c r="J782" t="s">
        <v>2024</v>
      </c>
      <c r="K782">
        <v>25</v>
      </c>
      <c r="L782" t="s">
        <v>2029</v>
      </c>
      <c r="M782" t="s">
        <v>2036</v>
      </c>
      <c r="N782" t="str">
        <f t="shared" si="24"/>
        <v>Fail</v>
      </c>
      <c r="O782" t="str">
        <f t="shared" si="25"/>
        <v>UnderAge</v>
      </c>
      <c r="P782" t="str" cm="1">
        <f t="array" ref="P782">_xlfn.IFS(K782&gt;90,"Excellent",K782&gt;80,"Very Good",K782&gt;70,"Good",K782&gt;=50,"Poor",K782&lt;50,"Fail")</f>
        <v>Fail</v>
      </c>
    </row>
    <row r="783" spans="1:16" x14ac:dyDescent="0.25">
      <c r="A783" t="s">
        <v>792</v>
      </c>
      <c r="B783" t="s">
        <v>1790</v>
      </c>
      <c r="C783" t="s">
        <v>2113</v>
      </c>
      <c r="D783" t="s">
        <v>2606</v>
      </c>
      <c r="E783" t="s">
        <v>2007</v>
      </c>
      <c r="F783">
        <v>17</v>
      </c>
      <c r="G783" t="s">
        <v>2011</v>
      </c>
      <c r="H783" t="s">
        <v>2017</v>
      </c>
      <c r="I783" t="s">
        <v>2018</v>
      </c>
      <c r="J783" t="s">
        <v>2023</v>
      </c>
      <c r="K783">
        <v>50</v>
      </c>
      <c r="L783" t="s">
        <v>2027</v>
      </c>
      <c r="M783" t="s">
        <v>2035</v>
      </c>
      <c r="N783" t="str">
        <f t="shared" si="24"/>
        <v>Pass</v>
      </c>
      <c r="O783" t="str">
        <f t="shared" si="25"/>
        <v>UnderAge</v>
      </c>
      <c r="P783" t="str" cm="1">
        <f t="array" ref="P783">_xlfn.IFS(K783&gt;90,"Excellent",K783&gt;80,"Very Good",K783&gt;70,"Good",K783&gt;=50,"Poor",K783&lt;50,"Fail")</f>
        <v>Poor</v>
      </c>
    </row>
    <row r="784" spans="1:16" x14ac:dyDescent="0.25">
      <c r="A784" t="s">
        <v>793</v>
      </c>
      <c r="B784" t="s">
        <v>1791</v>
      </c>
      <c r="C784" t="s">
        <v>2160</v>
      </c>
      <c r="D784" t="s">
        <v>2717</v>
      </c>
      <c r="E784" t="s">
        <v>2007</v>
      </c>
      <c r="F784">
        <v>18</v>
      </c>
      <c r="G784" t="s">
        <v>2010</v>
      </c>
      <c r="H784" t="s">
        <v>2016</v>
      </c>
      <c r="I784" t="s">
        <v>2018</v>
      </c>
      <c r="J784" t="s">
        <v>2023</v>
      </c>
      <c r="K784">
        <v>100</v>
      </c>
      <c r="L784" t="s">
        <v>2032</v>
      </c>
      <c r="M784" t="s">
        <v>2035</v>
      </c>
      <c r="N784" t="str">
        <f t="shared" si="24"/>
        <v>Pass</v>
      </c>
      <c r="O784" t="str">
        <f t="shared" si="25"/>
        <v>Adult</v>
      </c>
      <c r="P784" t="str" cm="1">
        <f t="array" ref="P784">_xlfn.IFS(K784&gt;90,"Excellent",K784&gt;80,"Very Good",K784&gt;70,"Good",K784&gt;=50,"Poor",K784&lt;50,"Fail")</f>
        <v>Excellent</v>
      </c>
    </row>
    <row r="785" spans="1:16" x14ac:dyDescent="0.25">
      <c r="A785" t="s">
        <v>794</v>
      </c>
      <c r="B785" t="s">
        <v>1792</v>
      </c>
      <c r="C785" t="s">
        <v>2148</v>
      </c>
      <c r="D785" t="s">
        <v>2697</v>
      </c>
      <c r="E785" t="s">
        <v>2007</v>
      </c>
      <c r="F785">
        <v>16</v>
      </c>
      <c r="G785" t="s">
        <v>2012</v>
      </c>
      <c r="H785" t="s">
        <v>2015</v>
      </c>
      <c r="I785" t="s">
        <v>2018</v>
      </c>
      <c r="J785" t="s">
        <v>2023</v>
      </c>
      <c r="K785">
        <v>40</v>
      </c>
      <c r="L785" t="s">
        <v>2029</v>
      </c>
      <c r="M785" t="s">
        <v>2036</v>
      </c>
      <c r="N785" t="str">
        <f t="shared" si="24"/>
        <v>Fail</v>
      </c>
      <c r="O785" t="str">
        <f t="shared" si="25"/>
        <v>UnderAge</v>
      </c>
      <c r="P785" t="str" cm="1">
        <f t="array" ref="P785">_xlfn.IFS(K785&gt;90,"Excellent",K785&gt;80,"Very Good",K785&gt;70,"Good",K785&gt;=50,"Poor",K785&lt;50,"Fail")</f>
        <v>Fail</v>
      </c>
    </row>
    <row r="786" spans="1:16" x14ac:dyDescent="0.25">
      <c r="A786" t="s">
        <v>795</v>
      </c>
      <c r="B786" t="s">
        <v>1793</v>
      </c>
      <c r="C786" t="s">
        <v>2140</v>
      </c>
      <c r="D786" t="s">
        <v>2484</v>
      </c>
      <c r="E786" t="s">
        <v>2007</v>
      </c>
      <c r="F786">
        <v>15</v>
      </c>
      <c r="G786" t="s">
        <v>2011</v>
      </c>
      <c r="H786" t="s">
        <v>2014</v>
      </c>
      <c r="I786" t="s">
        <v>2021</v>
      </c>
      <c r="J786" t="s">
        <v>2023</v>
      </c>
      <c r="K786">
        <v>10</v>
      </c>
      <c r="L786" t="s">
        <v>2026</v>
      </c>
      <c r="M786" t="s">
        <v>2036</v>
      </c>
      <c r="N786" t="str">
        <f t="shared" si="24"/>
        <v>Fail</v>
      </c>
      <c r="O786" t="str">
        <f t="shared" si="25"/>
        <v>UnderAge</v>
      </c>
      <c r="P786" t="str" cm="1">
        <f t="array" ref="P786">_xlfn.IFS(K786&gt;90,"Excellent",K786&gt;80,"Very Good",K786&gt;70,"Good",K786&gt;=50,"Poor",K786&lt;50,"Fail")</f>
        <v>Fail</v>
      </c>
    </row>
    <row r="787" spans="1:16" x14ac:dyDescent="0.25">
      <c r="A787" t="s">
        <v>796</v>
      </c>
      <c r="B787" t="s">
        <v>1794</v>
      </c>
      <c r="C787" t="s">
        <v>2185</v>
      </c>
      <c r="D787" t="s">
        <v>2789</v>
      </c>
      <c r="E787" t="s">
        <v>2008</v>
      </c>
      <c r="F787">
        <v>15</v>
      </c>
      <c r="G787" t="s">
        <v>2013</v>
      </c>
      <c r="H787" t="s">
        <v>2017</v>
      </c>
      <c r="I787" t="s">
        <v>2019</v>
      </c>
      <c r="J787" t="s">
        <v>2023</v>
      </c>
      <c r="K787">
        <v>86</v>
      </c>
      <c r="L787" t="s">
        <v>2028</v>
      </c>
      <c r="M787" t="s">
        <v>2035</v>
      </c>
      <c r="N787" t="str">
        <f t="shared" si="24"/>
        <v>Pass</v>
      </c>
      <c r="O787" t="str">
        <f t="shared" si="25"/>
        <v>UnderAge</v>
      </c>
      <c r="P787" t="str" cm="1">
        <f t="array" ref="P787">_xlfn.IFS(K787&gt;90,"Excellent",K787&gt;80,"Very Good",K787&gt;70,"Good",K787&gt;=50,"Poor",K787&lt;50,"Fail")</f>
        <v>Very Good</v>
      </c>
    </row>
    <row r="788" spans="1:16" x14ac:dyDescent="0.25">
      <c r="A788" t="s">
        <v>797</v>
      </c>
      <c r="B788" t="s">
        <v>1795</v>
      </c>
      <c r="C788" t="s">
        <v>2086</v>
      </c>
      <c r="D788" t="s">
        <v>2790</v>
      </c>
      <c r="E788" t="s">
        <v>2007</v>
      </c>
      <c r="F788">
        <v>16</v>
      </c>
      <c r="G788" t="s">
        <v>2010</v>
      </c>
      <c r="H788" t="s">
        <v>2014</v>
      </c>
      <c r="I788" t="s">
        <v>2018</v>
      </c>
      <c r="J788" t="s">
        <v>2024</v>
      </c>
      <c r="K788">
        <v>48</v>
      </c>
      <c r="L788" t="s">
        <v>2032</v>
      </c>
      <c r="M788" t="s">
        <v>2036</v>
      </c>
      <c r="N788" t="str">
        <f t="shared" si="24"/>
        <v>Fail</v>
      </c>
      <c r="O788" t="str">
        <f t="shared" si="25"/>
        <v>UnderAge</v>
      </c>
      <c r="P788" t="str" cm="1">
        <f t="array" ref="P788">_xlfn.IFS(K788&gt;90,"Excellent",K788&gt;80,"Very Good",K788&gt;70,"Good",K788&gt;=50,"Poor",K788&lt;50,"Fail")</f>
        <v>Fail</v>
      </c>
    </row>
    <row r="789" spans="1:16" x14ac:dyDescent="0.25">
      <c r="A789" t="s">
        <v>798</v>
      </c>
      <c r="B789" t="s">
        <v>1796</v>
      </c>
      <c r="C789" t="s">
        <v>2374</v>
      </c>
      <c r="D789" t="s">
        <v>2453</v>
      </c>
      <c r="E789" t="s">
        <v>2008</v>
      </c>
      <c r="F789">
        <v>17</v>
      </c>
      <c r="G789" t="s">
        <v>2011</v>
      </c>
      <c r="H789" t="s">
        <v>2014</v>
      </c>
      <c r="I789" t="s">
        <v>2022</v>
      </c>
      <c r="J789" t="s">
        <v>2023</v>
      </c>
      <c r="K789">
        <v>91</v>
      </c>
      <c r="L789" t="s">
        <v>2030</v>
      </c>
      <c r="M789" t="s">
        <v>2035</v>
      </c>
      <c r="N789" t="str">
        <f t="shared" si="24"/>
        <v>Pass</v>
      </c>
      <c r="O789" t="str">
        <f t="shared" si="25"/>
        <v>UnderAge</v>
      </c>
      <c r="P789" t="str" cm="1">
        <f t="array" ref="P789">_xlfn.IFS(K789&gt;90,"Excellent",K789&gt;80,"Very Good",K789&gt;70,"Good",K789&gt;=50,"Poor",K789&lt;50,"Fail")</f>
        <v>Excellent</v>
      </c>
    </row>
    <row r="790" spans="1:16" x14ac:dyDescent="0.25">
      <c r="A790" t="s">
        <v>799</v>
      </c>
      <c r="B790" t="s">
        <v>1797</v>
      </c>
      <c r="C790" t="s">
        <v>2186</v>
      </c>
      <c r="D790" t="s">
        <v>2437</v>
      </c>
      <c r="E790" t="s">
        <v>2008</v>
      </c>
      <c r="F790">
        <v>16</v>
      </c>
      <c r="G790" t="s">
        <v>2009</v>
      </c>
      <c r="H790" t="s">
        <v>2017</v>
      </c>
      <c r="I790" t="s">
        <v>2021</v>
      </c>
      <c r="J790" t="s">
        <v>2023</v>
      </c>
      <c r="K790">
        <v>83</v>
      </c>
      <c r="L790" t="s">
        <v>2031</v>
      </c>
      <c r="M790" t="s">
        <v>2035</v>
      </c>
      <c r="N790" t="str">
        <f t="shared" si="24"/>
        <v>Pass</v>
      </c>
      <c r="O790" t="str">
        <f t="shared" si="25"/>
        <v>UnderAge</v>
      </c>
      <c r="P790" t="str" cm="1">
        <f t="array" ref="P790">_xlfn.IFS(K790&gt;90,"Excellent",K790&gt;80,"Very Good",K790&gt;70,"Good",K790&gt;=50,"Poor",K790&lt;50,"Fail")</f>
        <v>Very Good</v>
      </c>
    </row>
    <row r="791" spans="1:16" x14ac:dyDescent="0.25">
      <c r="A791" t="s">
        <v>800</v>
      </c>
      <c r="B791" t="s">
        <v>1798</v>
      </c>
      <c r="C791" t="s">
        <v>2119</v>
      </c>
      <c r="D791" t="s">
        <v>2319</v>
      </c>
      <c r="E791" t="s">
        <v>2007</v>
      </c>
      <c r="F791">
        <v>15</v>
      </c>
      <c r="G791" t="s">
        <v>2012</v>
      </c>
      <c r="H791" t="s">
        <v>2016</v>
      </c>
      <c r="I791" t="s">
        <v>2022</v>
      </c>
      <c r="J791" t="s">
        <v>2024</v>
      </c>
      <c r="K791">
        <v>28</v>
      </c>
      <c r="L791" t="s">
        <v>2034</v>
      </c>
      <c r="M791" t="s">
        <v>2036</v>
      </c>
      <c r="N791" t="str">
        <f t="shared" si="24"/>
        <v>Fail</v>
      </c>
      <c r="O791" t="str">
        <f t="shared" si="25"/>
        <v>UnderAge</v>
      </c>
      <c r="P791" t="str" cm="1">
        <f t="array" ref="P791">_xlfn.IFS(K791&gt;90,"Excellent",K791&gt;80,"Very Good",K791&gt;70,"Good",K791&gt;=50,"Poor",K791&lt;50,"Fail")</f>
        <v>Fail</v>
      </c>
    </row>
    <row r="792" spans="1:16" x14ac:dyDescent="0.25">
      <c r="A792" t="s">
        <v>801</v>
      </c>
      <c r="B792" t="s">
        <v>1799</v>
      </c>
      <c r="C792" t="s">
        <v>2066</v>
      </c>
      <c r="D792" t="s">
        <v>2046</v>
      </c>
      <c r="E792" t="s">
        <v>2007</v>
      </c>
      <c r="F792">
        <v>15</v>
      </c>
      <c r="G792" t="s">
        <v>2013</v>
      </c>
      <c r="H792" t="s">
        <v>2016</v>
      </c>
      <c r="I792" t="s">
        <v>2021</v>
      </c>
      <c r="J792" t="s">
        <v>2024</v>
      </c>
      <c r="K792">
        <v>52</v>
      </c>
      <c r="L792" t="s">
        <v>2032</v>
      </c>
      <c r="M792" t="s">
        <v>2035</v>
      </c>
      <c r="N792" t="str">
        <f t="shared" si="24"/>
        <v>Pass</v>
      </c>
      <c r="O792" t="str">
        <f t="shared" si="25"/>
        <v>UnderAge</v>
      </c>
      <c r="P792" t="str" cm="1">
        <f t="array" ref="P792">_xlfn.IFS(K792&gt;90,"Excellent",K792&gt;80,"Very Good",K792&gt;70,"Good",K792&gt;=50,"Poor",K792&lt;50,"Fail")</f>
        <v>Poor</v>
      </c>
    </row>
    <row r="793" spans="1:16" x14ac:dyDescent="0.25">
      <c r="A793" t="s">
        <v>802</v>
      </c>
      <c r="B793" t="s">
        <v>1800</v>
      </c>
      <c r="C793" t="s">
        <v>2175</v>
      </c>
      <c r="D793" t="s">
        <v>2791</v>
      </c>
      <c r="E793" t="s">
        <v>2008</v>
      </c>
      <c r="F793">
        <v>14</v>
      </c>
      <c r="G793" t="s">
        <v>2013</v>
      </c>
      <c r="H793" t="s">
        <v>2016</v>
      </c>
      <c r="I793" t="s">
        <v>2019</v>
      </c>
      <c r="J793" t="s">
        <v>2023</v>
      </c>
      <c r="K793">
        <v>39</v>
      </c>
      <c r="L793" t="s">
        <v>2026</v>
      </c>
      <c r="M793" t="s">
        <v>2036</v>
      </c>
      <c r="N793" t="str">
        <f t="shared" si="24"/>
        <v>Fail</v>
      </c>
      <c r="O793" t="str">
        <f t="shared" si="25"/>
        <v>UnderAge</v>
      </c>
      <c r="P793" t="str" cm="1">
        <f t="array" ref="P793">_xlfn.IFS(K793&gt;90,"Excellent",K793&gt;80,"Very Good",K793&gt;70,"Good",K793&gt;=50,"Poor",K793&lt;50,"Fail")</f>
        <v>Fail</v>
      </c>
    </row>
    <row r="794" spans="1:16" x14ac:dyDescent="0.25">
      <c r="A794" t="s">
        <v>803</v>
      </c>
      <c r="B794" t="s">
        <v>1801</v>
      </c>
      <c r="C794" t="s">
        <v>2311</v>
      </c>
      <c r="D794" t="s">
        <v>2058</v>
      </c>
      <c r="E794" t="s">
        <v>2008</v>
      </c>
      <c r="F794">
        <v>15</v>
      </c>
      <c r="G794" t="s">
        <v>2012</v>
      </c>
      <c r="H794" t="s">
        <v>2014</v>
      </c>
      <c r="I794" t="s">
        <v>2022</v>
      </c>
      <c r="J794" t="s">
        <v>2024</v>
      </c>
      <c r="K794">
        <v>90</v>
      </c>
      <c r="L794" t="s">
        <v>2028</v>
      </c>
      <c r="M794" t="s">
        <v>2035</v>
      </c>
      <c r="N794" t="str">
        <f t="shared" si="24"/>
        <v>Pass</v>
      </c>
      <c r="O794" t="str">
        <f t="shared" si="25"/>
        <v>UnderAge</v>
      </c>
      <c r="P794" t="str" cm="1">
        <f t="array" ref="P794">_xlfn.IFS(K794&gt;90,"Excellent",K794&gt;80,"Very Good",K794&gt;70,"Good",K794&gt;=50,"Poor",K794&lt;50,"Fail")</f>
        <v>Very Good</v>
      </c>
    </row>
    <row r="795" spans="1:16" x14ac:dyDescent="0.25">
      <c r="A795" t="s">
        <v>804</v>
      </c>
      <c r="B795" t="s">
        <v>1361</v>
      </c>
      <c r="C795" t="s">
        <v>2109</v>
      </c>
      <c r="D795" t="s">
        <v>2168</v>
      </c>
      <c r="E795" t="s">
        <v>2008</v>
      </c>
      <c r="F795">
        <v>14</v>
      </c>
      <c r="G795" t="s">
        <v>2011</v>
      </c>
      <c r="H795" t="s">
        <v>2017</v>
      </c>
      <c r="I795" t="s">
        <v>2019</v>
      </c>
      <c r="J795" t="s">
        <v>2024</v>
      </c>
      <c r="K795">
        <v>61</v>
      </c>
      <c r="L795" t="s">
        <v>2029</v>
      </c>
      <c r="M795" t="s">
        <v>2035</v>
      </c>
      <c r="N795" t="str">
        <f t="shared" si="24"/>
        <v>Pass</v>
      </c>
      <c r="O795" t="str">
        <f t="shared" si="25"/>
        <v>UnderAge</v>
      </c>
      <c r="P795" t="str" cm="1">
        <f t="array" ref="P795">_xlfn.IFS(K795&gt;90,"Excellent",K795&gt;80,"Very Good",K795&gt;70,"Good",K795&gt;=50,"Poor",K795&lt;50,"Fail")</f>
        <v>Poor</v>
      </c>
    </row>
    <row r="796" spans="1:16" x14ac:dyDescent="0.25">
      <c r="A796" t="s">
        <v>805</v>
      </c>
      <c r="B796" t="s">
        <v>1802</v>
      </c>
      <c r="C796" t="s">
        <v>2164</v>
      </c>
      <c r="D796" t="s">
        <v>2058</v>
      </c>
      <c r="E796" t="s">
        <v>2008</v>
      </c>
      <c r="F796">
        <v>15</v>
      </c>
      <c r="G796" t="s">
        <v>2011</v>
      </c>
      <c r="H796" t="s">
        <v>2014</v>
      </c>
      <c r="I796" t="s">
        <v>2022</v>
      </c>
      <c r="J796" t="s">
        <v>2023</v>
      </c>
      <c r="K796">
        <v>12</v>
      </c>
      <c r="L796" t="s">
        <v>2033</v>
      </c>
      <c r="M796" t="s">
        <v>2036</v>
      </c>
      <c r="N796" t="str">
        <f t="shared" si="24"/>
        <v>Fail</v>
      </c>
      <c r="O796" t="str">
        <f t="shared" si="25"/>
        <v>UnderAge</v>
      </c>
      <c r="P796" t="str" cm="1">
        <f t="array" ref="P796">_xlfn.IFS(K796&gt;90,"Excellent",K796&gt;80,"Very Good",K796&gt;70,"Good",K796&gt;=50,"Poor",K796&lt;50,"Fail")</f>
        <v>Fail</v>
      </c>
    </row>
    <row r="797" spans="1:16" x14ac:dyDescent="0.25">
      <c r="A797" t="s">
        <v>806</v>
      </c>
      <c r="B797" t="s">
        <v>1803</v>
      </c>
      <c r="C797" t="s">
        <v>2375</v>
      </c>
      <c r="D797" t="s">
        <v>2510</v>
      </c>
      <c r="E797" t="s">
        <v>2007</v>
      </c>
      <c r="F797">
        <v>17</v>
      </c>
      <c r="G797" t="s">
        <v>2010</v>
      </c>
      <c r="H797" t="s">
        <v>2015</v>
      </c>
      <c r="I797" t="s">
        <v>2022</v>
      </c>
      <c r="J797" t="s">
        <v>2024</v>
      </c>
      <c r="K797">
        <v>52</v>
      </c>
      <c r="L797" t="s">
        <v>2025</v>
      </c>
      <c r="M797" t="s">
        <v>2035</v>
      </c>
      <c r="N797" t="str">
        <f t="shared" si="24"/>
        <v>Pass</v>
      </c>
      <c r="O797" t="str">
        <f t="shared" si="25"/>
        <v>UnderAge</v>
      </c>
      <c r="P797" t="str" cm="1">
        <f t="array" ref="P797">_xlfn.IFS(K797&gt;90,"Excellent",K797&gt;80,"Very Good",K797&gt;70,"Good",K797&gt;=50,"Poor",K797&lt;50,"Fail")</f>
        <v>Poor</v>
      </c>
    </row>
    <row r="798" spans="1:16" x14ac:dyDescent="0.25">
      <c r="A798" t="s">
        <v>807</v>
      </c>
      <c r="B798" t="s">
        <v>1804</v>
      </c>
      <c r="C798" t="s">
        <v>2376</v>
      </c>
      <c r="D798" t="s">
        <v>2792</v>
      </c>
      <c r="E798" t="s">
        <v>2007</v>
      </c>
      <c r="F798">
        <v>16</v>
      </c>
      <c r="G798" t="s">
        <v>2012</v>
      </c>
      <c r="H798" t="s">
        <v>2016</v>
      </c>
      <c r="I798" t="s">
        <v>2021</v>
      </c>
      <c r="J798" t="s">
        <v>2024</v>
      </c>
      <c r="K798">
        <v>81</v>
      </c>
      <c r="L798" t="s">
        <v>2032</v>
      </c>
      <c r="M798" t="s">
        <v>2035</v>
      </c>
      <c r="N798" t="str">
        <f t="shared" si="24"/>
        <v>Pass</v>
      </c>
      <c r="O798" t="str">
        <f t="shared" si="25"/>
        <v>UnderAge</v>
      </c>
      <c r="P798" t="str" cm="1">
        <f t="array" ref="P798">_xlfn.IFS(K798&gt;90,"Excellent",K798&gt;80,"Very Good",K798&gt;70,"Good",K798&gt;=50,"Poor",K798&lt;50,"Fail")</f>
        <v>Very Good</v>
      </c>
    </row>
    <row r="799" spans="1:16" x14ac:dyDescent="0.25">
      <c r="A799" t="s">
        <v>808</v>
      </c>
      <c r="B799" t="s">
        <v>1805</v>
      </c>
      <c r="C799" t="s">
        <v>2245</v>
      </c>
      <c r="D799" t="s">
        <v>2613</v>
      </c>
      <c r="E799" t="s">
        <v>2007</v>
      </c>
      <c r="F799">
        <v>17</v>
      </c>
      <c r="G799" t="s">
        <v>2013</v>
      </c>
      <c r="H799" t="s">
        <v>2017</v>
      </c>
      <c r="I799" t="s">
        <v>2019</v>
      </c>
      <c r="J799" t="s">
        <v>2024</v>
      </c>
      <c r="K799">
        <v>2</v>
      </c>
      <c r="L799" t="s">
        <v>2031</v>
      </c>
      <c r="M799" t="s">
        <v>2036</v>
      </c>
      <c r="N799" t="str">
        <f t="shared" si="24"/>
        <v>Fail</v>
      </c>
      <c r="O799" t="str">
        <f t="shared" si="25"/>
        <v>UnderAge</v>
      </c>
      <c r="P799" t="str" cm="1">
        <f t="array" ref="P799">_xlfn.IFS(K799&gt;90,"Excellent",K799&gt;80,"Very Good",K799&gt;70,"Good",K799&gt;=50,"Poor",K799&lt;50,"Fail")</f>
        <v>Fail</v>
      </c>
    </row>
    <row r="800" spans="1:16" x14ac:dyDescent="0.25">
      <c r="A800" t="s">
        <v>809</v>
      </c>
      <c r="B800" t="s">
        <v>1806</v>
      </c>
      <c r="C800" t="s">
        <v>2377</v>
      </c>
      <c r="D800" t="s">
        <v>2111</v>
      </c>
      <c r="E800" t="s">
        <v>2008</v>
      </c>
      <c r="F800">
        <v>17</v>
      </c>
      <c r="G800" t="s">
        <v>2009</v>
      </c>
      <c r="H800" t="s">
        <v>2017</v>
      </c>
      <c r="I800" t="s">
        <v>2018</v>
      </c>
      <c r="J800" t="s">
        <v>2024</v>
      </c>
      <c r="K800">
        <v>29</v>
      </c>
      <c r="L800" t="s">
        <v>2029</v>
      </c>
      <c r="M800" t="s">
        <v>2036</v>
      </c>
      <c r="N800" t="str">
        <f t="shared" si="24"/>
        <v>Fail</v>
      </c>
      <c r="O800" t="str">
        <f t="shared" si="25"/>
        <v>UnderAge</v>
      </c>
      <c r="P800" t="str" cm="1">
        <f t="array" ref="P800">_xlfn.IFS(K800&gt;90,"Excellent",K800&gt;80,"Very Good",K800&gt;70,"Good",K800&gt;=50,"Poor",K800&lt;50,"Fail")</f>
        <v>Fail</v>
      </c>
    </row>
    <row r="801" spans="1:16" x14ac:dyDescent="0.25">
      <c r="A801" t="s">
        <v>810</v>
      </c>
      <c r="B801" t="s">
        <v>1807</v>
      </c>
      <c r="C801" t="s">
        <v>2156</v>
      </c>
      <c r="D801" t="s">
        <v>2453</v>
      </c>
      <c r="E801" t="s">
        <v>2008</v>
      </c>
      <c r="F801">
        <v>18</v>
      </c>
      <c r="G801" t="s">
        <v>2013</v>
      </c>
      <c r="H801" t="s">
        <v>2015</v>
      </c>
      <c r="I801" t="s">
        <v>2020</v>
      </c>
      <c r="J801" t="s">
        <v>2023</v>
      </c>
      <c r="K801">
        <v>100</v>
      </c>
      <c r="L801" t="s">
        <v>2032</v>
      </c>
      <c r="M801" t="s">
        <v>2035</v>
      </c>
      <c r="N801" t="str">
        <f t="shared" si="24"/>
        <v>Pass</v>
      </c>
      <c r="O801" t="str">
        <f t="shared" si="25"/>
        <v>Adult</v>
      </c>
      <c r="P801" t="str" cm="1">
        <f t="array" ref="P801">_xlfn.IFS(K801&gt;90,"Excellent",K801&gt;80,"Very Good",K801&gt;70,"Good",K801&gt;=50,"Poor",K801&lt;50,"Fail")</f>
        <v>Excellent</v>
      </c>
    </row>
    <row r="802" spans="1:16" x14ac:dyDescent="0.25">
      <c r="A802" t="s">
        <v>811</v>
      </c>
      <c r="B802" t="s">
        <v>1808</v>
      </c>
      <c r="C802" t="s">
        <v>2378</v>
      </c>
      <c r="D802" t="s">
        <v>2504</v>
      </c>
      <c r="E802" t="s">
        <v>2007</v>
      </c>
      <c r="F802">
        <v>18</v>
      </c>
      <c r="G802" t="s">
        <v>2013</v>
      </c>
      <c r="H802" t="s">
        <v>2014</v>
      </c>
      <c r="I802" t="s">
        <v>2020</v>
      </c>
      <c r="J802" t="s">
        <v>2024</v>
      </c>
      <c r="K802">
        <v>59</v>
      </c>
      <c r="L802" t="s">
        <v>2025</v>
      </c>
      <c r="M802" t="s">
        <v>2035</v>
      </c>
      <c r="N802" t="str">
        <f t="shared" si="24"/>
        <v>Pass</v>
      </c>
      <c r="O802" t="str">
        <f t="shared" si="25"/>
        <v>Adult</v>
      </c>
      <c r="P802" t="str" cm="1">
        <f t="array" ref="P802">_xlfn.IFS(K802&gt;90,"Excellent",K802&gt;80,"Very Good",K802&gt;70,"Good",K802&gt;=50,"Poor",K802&lt;50,"Fail")</f>
        <v>Poor</v>
      </c>
    </row>
    <row r="803" spans="1:16" x14ac:dyDescent="0.25">
      <c r="A803" t="s">
        <v>812</v>
      </c>
      <c r="B803" t="s">
        <v>1809</v>
      </c>
      <c r="C803" t="s">
        <v>2057</v>
      </c>
      <c r="D803" t="s">
        <v>2620</v>
      </c>
      <c r="E803" t="s">
        <v>2007</v>
      </c>
      <c r="F803">
        <v>17</v>
      </c>
      <c r="G803" t="s">
        <v>2011</v>
      </c>
      <c r="H803" t="s">
        <v>2014</v>
      </c>
      <c r="I803" t="s">
        <v>2022</v>
      </c>
      <c r="J803" t="s">
        <v>2023</v>
      </c>
      <c r="K803">
        <v>21</v>
      </c>
      <c r="L803" t="s">
        <v>2029</v>
      </c>
      <c r="M803" t="s">
        <v>2036</v>
      </c>
      <c r="N803" t="str">
        <f t="shared" si="24"/>
        <v>Fail</v>
      </c>
      <c r="O803" t="str">
        <f t="shared" si="25"/>
        <v>UnderAge</v>
      </c>
      <c r="P803" t="str" cm="1">
        <f t="array" ref="P803">_xlfn.IFS(K803&gt;90,"Excellent",K803&gt;80,"Very Good",K803&gt;70,"Good",K803&gt;=50,"Poor",K803&lt;50,"Fail")</f>
        <v>Fail</v>
      </c>
    </row>
    <row r="804" spans="1:16" x14ac:dyDescent="0.25">
      <c r="A804" t="s">
        <v>813</v>
      </c>
      <c r="B804" t="s">
        <v>1810</v>
      </c>
      <c r="C804" t="s">
        <v>2202</v>
      </c>
      <c r="D804" t="s">
        <v>2793</v>
      </c>
      <c r="E804" t="s">
        <v>2008</v>
      </c>
      <c r="F804">
        <v>15</v>
      </c>
      <c r="G804" t="s">
        <v>2012</v>
      </c>
      <c r="H804" t="s">
        <v>2015</v>
      </c>
      <c r="I804" t="s">
        <v>2019</v>
      </c>
      <c r="J804" t="s">
        <v>2023</v>
      </c>
      <c r="K804">
        <v>42</v>
      </c>
      <c r="L804" t="s">
        <v>2033</v>
      </c>
      <c r="M804" t="s">
        <v>2036</v>
      </c>
      <c r="N804" t="str">
        <f t="shared" si="24"/>
        <v>Fail</v>
      </c>
      <c r="O804" t="str">
        <f t="shared" si="25"/>
        <v>UnderAge</v>
      </c>
      <c r="P804" t="str" cm="1">
        <f t="array" ref="P804">_xlfn.IFS(K804&gt;90,"Excellent",K804&gt;80,"Very Good",K804&gt;70,"Good",K804&gt;=50,"Poor",K804&lt;50,"Fail")</f>
        <v>Fail</v>
      </c>
    </row>
    <row r="805" spans="1:16" x14ac:dyDescent="0.25">
      <c r="A805" t="s">
        <v>814</v>
      </c>
      <c r="B805" t="s">
        <v>1811</v>
      </c>
      <c r="C805" t="s">
        <v>2379</v>
      </c>
      <c r="D805" t="s">
        <v>2178</v>
      </c>
      <c r="E805" t="s">
        <v>2007</v>
      </c>
      <c r="F805">
        <v>17</v>
      </c>
      <c r="G805" t="s">
        <v>2011</v>
      </c>
      <c r="H805" t="s">
        <v>2016</v>
      </c>
      <c r="I805" t="s">
        <v>2019</v>
      </c>
      <c r="J805" t="s">
        <v>2024</v>
      </c>
      <c r="K805">
        <v>15</v>
      </c>
      <c r="L805" t="s">
        <v>2032</v>
      </c>
      <c r="M805" t="s">
        <v>2036</v>
      </c>
      <c r="N805" t="str">
        <f t="shared" si="24"/>
        <v>Fail</v>
      </c>
      <c r="O805" t="str">
        <f t="shared" si="25"/>
        <v>UnderAge</v>
      </c>
      <c r="P805" t="str" cm="1">
        <f t="array" ref="P805">_xlfn.IFS(K805&gt;90,"Excellent",K805&gt;80,"Very Good",K805&gt;70,"Good",K805&gt;=50,"Poor",K805&lt;50,"Fail")</f>
        <v>Fail</v>
      </c>
    </row>
    <row r="806" spans="1:16" x14ac:dyDescent="0.25">
      <c r="A806" t="s">
        <v>815</v>
      </c>
      <c r="B806" t="s">
        <v>1812</v>
      </c>
      <c r="C806" t="s">
        <v>2250</v>
      </c>
      <c r="D806" t="s">
        <v>2055</v>
      </c>
      <c r="E806" t="s">
        <v>2008</v>
      </c>
      <c r="F806">
        <v>15</v>
      </c>
      <c r="G806" t="s">
        <v>2009</v>
      </c>
      <c r="H806" t="s">
        <v>2016</v>
      </c>
      <c r="I806" t="s">
        <v>2019</v>
      </c>
      <c r="J806" t="s">
        <v>2023</v>
      </c>
      <c r="K806">
        <v>5</v>
      </c>
      <c r="L806" t="s">
        <v>2030</v>
      </c>
      <c r="M806" t="s">
        <v>2036</v>
      </c>
      <c r="N806" t="str">
        <f t="shared" si="24"/>
        <v>Fail</v>
      </c>
      <c r="O806" t="str">
        <f t="shared" si="25"/>
        <v>UnderAge</v>
      </c>
      <c r="P806" t="str" cm="1">
        <f t="array" ref="P806">_xlfn.IFS(K806&gt;90,"Excellent",K806&gt;80,"Very Good",K806&gt;70,"Good",K806&gt;=50,"Poor",K806&lt;50,"Fail")</f>
        <v>Fail</v>
      </c>
    </row>
    <row r="807" spans="1:16" x14ac:dyDescent="0.25">
      <c r="A807" t="s">
        <v>816</v>
      </c>
      <c r="B807" t="s">
        <v>1813</v>
      </c>
      <c r="C807" t="s">
        <v>2278</v>
      </c>
      <c r="D807" t="s">
        <v>2794</v>
      </c>
      <c r="E807" t="s">
        <v>2008</v>
      </c>
      <c r="F807">
        <v>15</v>
      </c>
      <c r="G807" t="s">
        <v>2013</v>
      </c>
      <c r="H807" t="s">
        <v>2015</v>
      </c>
      <c r="I807" t="s">
        <v>2020</v>
      </c>
      <c r="J807" t="s">
        <v>2023</v>
      </c>
      <c r="K807">
        <v>52</v>
      </c>
      <c r="L807" t="s">
        <v>2034</v>
      </c>
      <c r="M807" t="s">
        <v>2035</v>
      </c>
      <c r="N807" t="str">
        <f t="shared" si="24"/>
        <v>Pass</v>
      </c>
      <c r="O807" t="str">
        <f t="shared" si="25"/>
        <v>UnderAge</v>
      </c>
      <c r="P807" t="str" cm="1">
        <f t="array" ref="P807">_xlfn.IFS(K807&gt;90,"Excellent",K807&gt;80,"Very Good",K807&gt;70,"Good",K807&gt;=50,"Poor",K807&lt;50,"Fail")</f>
        <v>Poor</v>
      </c>
    </row>
    <row r="808" spans="1:16" x14ac:dyDescent="0.25">
      <c r="A808" t="s">
        <v>817</v>
      </c>
      <c r="B808" t="s">
        <v>1814</v>
      </c>
      <c r="C808" t="s">
        <v>2159</v>
      </c>
      <c r="D808" t="s">
        <v>2615</v>
      </c>
      <c r="E808" t="s">
        <v>2007</v>
      </c>
      <c r="F808">
        <v>17</v>
      </c>
      <c r="G808" t="s">
        <v>2013</v>
      </c>
      <c r="H808" t="s">
        <v>2015</v>
      </c>
      <c r="I808" t="s">
        <v>2021</v>
      </c>
      <c r="J808" t="s">
        <v>2024</v>
      </c>
      <c r="K808">
        <v>94</v>
      </c>
      <c r="L808" t="s">
        <v>2026</v>
      </c>
      <c r="M808" t="s">
        <v>2035</v>
      </c>
      <c r="N808" t="str">
        <f t="shared" si="24"/>
        <v>Pass</v>
      </c>
      <c r="O808" t="str">
        <f t="shared" si="25"/>
        <v>UnderAge</v>
      </c>
      <c r="P808" t="str" cm="1">
        <f t="array" ref="P808">_xlfn.IFS(K808&gt;90,"Excellent",K808&gt;80,"Very Good",K808&gt;70,"Good",K808&gt;=50,"Poor",K808&lt;50,"Fail")</f>
        <v>Excellent</v>
      </c>
    </row>
    <row r="809" spans="1:16" x14ac:dyDescent="0.25">
      <c r="A809" t="s">
        <v>818</v>
      </c>
      <c r="B809" t="s">
        <v>1815</v>
      </c>
      <c r="C809" t="s">
        <v>2312</v>
      </c>
      <c r="D809" t="s">
        <v>2795</v>
      </c>
      <c r="E809" t="s">
        <v>2008</v>
      </c>
      <c r="F809">
        <v>18</v>
      </c>
      <c r="G809" t="s">
        <v>2013</v>
      </c>
      <c r="H809" t="s">
        <v>2015</v>
      </c>
      <c r="I809" t="s">
        <v>2022</v>
      </c>
      <c r="J809" t="s">
        <v>2024</v>
      </c>
      <c r="K809">
        <v>11</v>
      </c>
      <c r="L809" t="s">
        <v>2027</v>
      </c>
      <c r="M809" t="s">
        <v>2036</v>
      </c>
      <c r="N809" t="str">
        <f t="shared" si="24"/>
        <v>Fail</v>
      </c>
      <c r="O809" t="str">
        <f t="shared" si="25"/>
        <v>Adult</v>
      </c>
      <c r="P809" t="str" cm="1">
        <f t="array" ref="P809">_xlfn.IFS(K809&gt;90,"Excellent",K809&gt;80,"Very Good",K809&gt;70,"Good",K809&gt;=50,"Poor",K809&lt;50,"Fail")</f>
        <v>Fail</v>
      </c>
    </row>
    <row r="810" spans="1:16" x14ac:dyDescent="0.25">
      <c r="A810" t="s">
        <v>819</v>
      </c>
      <c r="B810" t="s">
        <v>1816</v>
      </c>
      <c r="C810" t="s">
        <v>2164</v>
      </c>
      <c r="D810" t="s">
        <v>2796</v>
      </c>
      <c r="E810" t="s">
        <v>2007</v>
      </c>
      <c r="F810">
        <v>18</v>
      </c>
      <c r="G810" t="s">
        <v>2011</v>
      </c>
      <c r="H810" t="s">
        <v>2015</v>
      </c>
      <c r="I810" t="s">
        <v>2022</v>
      </c>
      <c r="J810" t="s">
        <v>2024</v>
      </c>
      <c r="K810">
        <v>69</v>
      </c>
      <c r="L810" t="s">
        <v>2031</v>
      </c>
      <c r="M810" t="s">
        <v>2035</v>
      </c>
      <c r="N810" t="str">
        <f t="shared" si="24"/>
        <v>Pass</v>
      </c>
      <c r="O810" t="str">
        <f t="shared" si="25"/>
        <v>Adult</v>
      </c>
      <c r="P810" t="str" cm="1">
        <f t="array" ref="P810">_xlfn.IFS(K810&gt;90,"Excellent",K810&gt;80,"Very Good",K810&gt;70,"Good",K810&gt;=50,"Poor",K810&lt;50,"Fail")</f>
        <v>Poor</v>
      </c>
    </row>
    <row r="811" spans="1:16" x14ac:dyDescent="0.25">
      <c r="A811" t="s">
        <v>820</v>
      </c>
      <c r="B811" t="s">
        <v>1817</v>
      </c>
      <c r="C811" t="s">
        <v>2197</v>
      </c>
      <c r="D811" t="s">
        <v>2797</v>
      </c>
      <c r="E811" t="s">
        <v>2007</v>
      </c>
      <c r="F811">
        <v>18</v>
      </c>
      <c r="G811" t="s">
        <v>2011</v>
      </c>
      <c r="H811" t="s">
        <v>2014</v>
      </c>
      <c r="I811" t="s">
        <v>2022</v>
      </c>
      <c r="J811" t="s">
        <v>2023</v>
      </c>
      <c r="K811">
        <v>70</v>
      </c>
      <c r="L811" t="s">
        <v>2031</v>
      </c>
      <c r="M811" t="s">
        <v>2035</v>
      </c>
      <c r="N811" t="str">
        <f t="shared" si="24"/>
        <v>Pass</v>
      </c>
      <c r="O811" t="str">
        <f t="shared" si="25"/>
        <v>Adult</v>
      </c>
      <c r="P811" t="str" cm="1">
        <f t="array" ref="P811">_xlfn.IFS(K811&gt;90,"Excellent",K811&gt;80,"Very Good",K811&gt;70,"Good",K811&gt;=50,"Poor",K811&lt;50,"Fail")</f>
        <v>Poor</v>
      </c>
    </row>
    <row r="812" spans="1:16" x14ac:dyDescent="0.25">
      <c r="A812" t="s">
        <v>821</v>
      </c>
      <c r="B812" t="s">
        <v>1818</v>
      </c>
      <c r="C812" t="s">
        <v>2135</v>
      </c>
      <c r="D812" t="s">
        <v>2697</v>
      </c>
      <c r="E812" t="s">
        <v>2007</v>
      </c>
      <c r="F812">
        <v>14</v>
      </c>
      <c r="G812" t="s">
        <v>2009</v>
      </c>
      <c r="H812" t="s">
        <v>2015</v>
      </c>
      <c r="I812" t="s">
        <v>2019</v>
      </c>
      <c r="J812" t="s">
        <v>2024</v>
      </c>
      <c r="K812">
        <v>90</v>
      </c>
      <c r="L812" t="s">
        <v>2029</v>
      </c>
      <c r="M812" t="s">
        <v>2035</v>
      </c>
      <c r="N812" t="str">
        <f t="shared" si="24"/>
        <v>Pass</v>
      </c>
      <c r="O812" t="str">
        <f t="shared" si="25"/>
        <v>UnderAge</v>
      </c>
      <c r="P812" t="str" cm="1">
        <f t="array" ref="P812">_xlfn.IFS(K812&gt;90,"Excellent",K812&gt;80,"Very Good",K812&gt;70,"Good",K812&gt;=50,"Poor",K812&lt;50,"Fail")</f>
        <v>Very Good</v>
      </c>
    </row>
    <row r="813" spans="1:16" x14ac:dyDescent="0.25">
      <c r="A813" t="s">
        <v>822</v>
      </c>
      <c r="B813" t="s">
        <v>1819</v>
      </c>
      <c r="C813" t="s">
        <v>2380</v>
      </c>
      <c r="D813" t="s">
        <v>2679</v>
      </c>
      <c r="E813" t="s">
        <v>2007</v>
      </c>
      <c r="F813">
        <v>17</v>
      </c>
      <c r="G813" t="s">
        <v>2012</v>
      </c>
      <c r="H813" t="s">
        <v>2015</v>
      </c>
      <c r="I813" t="s">
        <v>2021</v>
      </c>
      <c r="J813" t="s">
        <v>2024</v>
      </c>
      <c r="K813">
        <v>61</v>
      </c>
      <c r="L813" t="s">
        <v>2029</v>
      </c>
      <c r="M813" t="s">
        <v>2035</v>
      </c>
      <c r="N813" t="str">
        <f t="shared" si="24"/>
        <v>Pass</v>
      </c>
      <c r="O813" t="str">
        <f t="shared" si="25"/>
        <v>UnderAge</v>
      </c>
      <c r="P813" t="str" cm="1">
        <f t="array" ref="P813">_xlfn.IFS(K813&gt;90,"Excellent",K813&gt;80,"Very Good",K813&gt;70,"Good",K813&gt;=50,"Poor",K813&lt;50,"Fail")</f>
        <v>Poor</v>
      </c>
    </row>
    <row r="814" spans="1:16" x14ac:dyDescent="0.25">
      <c r="A814" t="s">
        <v>823</v>
      </c>
      <c r="B814" t="s">
        <v>1820</v>
      </c>
      <c r="C814" t="s">
        <v>2381</v>
      </c>
      <c r="D814" t="s">
        <v>2798</v>
      </c>
      <c r="E814" t="s">
        <v>2008</v>
      </c>
      <c r="F814">
        <v>16</v>
      </c>
      <c r="G814" t="s">
        <v>2011</v>
      </c>
      <c r="H814" t="s">
        <v>2015</v>
      </c>
      <c r="I814" t="s">
        <v>2020</v>
      </c>
      <c r="J814" t="s">
        <v>2024</v>
      </c>
      <c r="K814">
        <v>55</v>
      </c>
      <c r="L814" t="s">
        <v>2033</v>
      </c>
      <c r="M814" t="s">
        <v>2035</v>
      </c>
      <c r="N814" t="str">
        <f t="shared" si="24"/>
        <v>Pass</v>
      </c>
      <c r="O814" t="str">
        <f t="shared" si="25"/>
        <v>UnderAge</v>
      </c>
      <c r="P814" t="str" cm="1">
        <f t="array" ref="P814">_xlfn.IFS(K814&gt;90,"Excellent",K814&gt;80,"Very Good",K814&gt;70,"Good",K814&gt;=50,"Poor",K814&lt;50,"Fail")</f>
        <v>Poor</v>
      </c>
    </row>
    <row r="815" spans="1:16" x14ac:dyDescent="0.25">
      <c r="A815" t="s">
        <v>824</v>
      </c>
      <c r="B815" t="s">
        <v>1821</v>
      </c>
      <c r="C815" t="s">
        <v>2168</v>
      </c>
      <c r="D815" t="s">
        <v>2755</v>
      </c>
      <c r="E815" t="s">
        <v>2007</v>
      </c>
      <c r="F815">
        <v>17</v>
      </c>
      <c r="G815" t="s">
        <v>2011</v>
      </c>
      <c r="H815" t="s">
        <v>2017</v>
      </c>
      <c r="I815" t="s">
        <v>2020</v>
      </c>
      <c r="J815" t="s">
        <v>2023</v>
      </c>
      <c r="K815">
        <v>91</v>
      </c>
      <c r="L815" t="s">
        <v>2032</v>
      </c>
      <c r="M815" t="s">
        <v>2035</v>
      </c>
      <c r="N815" t="str">
        <f t="shared" si="24"/>
        <v>Pass</v>
      </c>
      <c r="O815" t="str">
        <f t="shared" si="25"/>
        <v>UnderAge</v>
      </c>
      <c r="P815" t="str" cm="1">
        <f t="array" ref="P815">_xlfn.IFS(K815&gt;90,"Excellent",K815&gt;80,"Very Good",K815&gt;70,"Good",K815&gt;=50,"Poor",K815&lt;50,"Fail")</f>
        <v>Excellent</v>
      </c>
    </row>
    <row r="816" spans="1:16" x14ac:dyDescent="0.25">
      <c r="A816" t="s">
        <v>825</v>
      </c>
      <c r="B816" t="s">
        <v>1822</v>
      </c>
      <c r="C816" t="s">
        <v>2092</v>
      </c>
      <c r="D816" t="s">
        <v>2721</v>
      </c>
      <c r="E816" t="s">
        <v>2007</v>
      </c>
      <c r="F816">
        <v>18</v>
      </c>
      <c r="G816" t="s">
        <v>2011</v>
      </c>
      <c r="H816" t="s">
        <v>2016</v>
      </c>
      <c r="I816" t="s">
        <v>2021</v>
      </c>
      <c r="J816" t="s">
        <v>2024</v>
      </c>
      <c r="K816">
        <v>85</v>
      </c>
      <c r="L816" t="s">
        <v>2033</v>
      </c>
      <c r="M816" t="s">
        <v>2035</v>
      </c>
      <c r="N816" t="str">
        <f t="shared" si="24"/>
        <v>Pass</v>
      </c>
      <c r="O816" t="str">
        <f t="shared" si="25"/>
        <v>Adult</v>
      </c>
      <c r="P816" t="str" cm="1">
        <f t="array" ref="P816">_xlfn.IFS(K816&gt;90,"Excellent",K816&gt;80,"Very Good",K816&gt;70,"Good",K816&gt;=50,"Poor",K816&lt;50,"Fail")</f>
        <v>Very Good</v>
      </c>
    </row>
    <row r="817" spans="1:16" x14ac:dyDescent="0.25">
      <c r="A817" t="s">
        <v>826</v>
      </c>
      <c r="B817" t="s">
        <v>1823</v>
      </c>
      <c r="C817" t="s">
        <v>2382</v>
      </c>
      <c r="D817" t="s">
        <v>2761</v>
      </c>
      <c r="E817" t="s">
        <v>2007</v>
      </c>
      <c r="F817">
        <v>15</v>
      </c>
      <c r="G817" t="s">
        <v>2012</v>
      </c>
      <c r="H817" t="s">
        <v>2014</v>
      </c>
      <c r="I817" t="s">
        <v>2020</v>
      </c>
      <c r="J817" t="s">
        <v>2024</v>
      </c>
      <c r="K817">
        <v>72</v>
      </c>
      <c r="L817" t="s">
        <v>2030</v>
      </c>
      <c r="M817" t="s">
        <v>2035</v>
      </c>
      <c r="N817" t="str">
        <f t="shared" si="24"/>
        <v>Pass</v>
      </c>
      <c r="O817" t="str">
        <f t="shared" si="25"/>
        <v>UnderAge</v>
      </c>
      <c r="P817" t="str" cm="1">
        <f t="array" ref="P817">_xlfn.IFS(K817&gt;90,"Excellent",K817&gt;80,"Very Good",K817&gt;70,"Good",K817&gt;=50,"Poor",K817&lt;50,"Fail")</f>
        <v>Good</v>
      </c>
    </row>
    <row r="818" spans="1:16" x14ac:dyDescent="0.25">
      <c r="A818" t="s">
        <v>827</v>
      </c>
      <c r="B818" t="s">
        <v>1824</v>
      </c>
      <c r="C818" t="s">
        <v>2065</v>
      </c>
      <c r="D818" t="s">
        <v>2417</v>
      </c>
      <c r="E818" t="s">
        <v>2008</v>
      </c>
      <c r="F818">
        <v>16</v>
      </c>
      <c r="G818" t="s">
        <v>2013</v>
      </c>
      <c r="H818" t="s">
        <v>2016</v>
      </c>
      <c r="I818" t="s">
        <v>2022</v>
      </c>
      <c r="J818" t="s">
        <v>2024</v>
      </c>
      <c r="K818">
        <v>18</v>
      </c>
      <c r="L818" t="s">
        <v>2032</v>
      </c>
      <c r="M818" t="s">
        <v>2036</v>
      </c>
      <c r="N818" t="str">
        <f t="shared" si="24"/>
        <v>Fail</v>
      </c>
      <c r="O818" t="str">
        <f t="shared" si="25"/>
        <v>UnderAge</v>
      </c>
      <c r="P818" t="str" cm="1">
        <f t="array" ref="P818">_xlfn.IFS(K818&gt;90,"Excellent",K818&gt;80,"Very Good",K818&gt;70,"Good",K818&gt;=50,"Poor",K818&lt;50,"Fail")</f>
        <v>Fail</v>
      </c>
    </row>
    <row r="819" spans="1:16" x14ac:dyDescent="0.25">
      <c r="A819" t="s">
        <v>828</v>
      </c>
      <c r="B819" t="s">
        <v>1825</v>
      </c>
      <c r="C819" t="s">
        <v>2071</v>
      </c>
      <c r="D819" t="s">
        <v>2477</v>
      </c>
      <c r="E819" t="s">
        <v>2008</v>
      </c>
      <c r="F819">
        <v>18</v>
      </c>
      <c r="G819" t="s">
        <v>2012</v>
      </c>
      <c r="H819" t="s">
        <v>2014</v>
      </c>
      <c r="I819" t="s">
        <v>2018</v>
      </c>
      <c r="J819" t="s">
        <v>2024</v>
      </c>
      <c r="K819">
        <v>69</v>
      </c>
      <c r="L819" t="s">
        <v>2028</v>
      </c>
      <c r="M819" t="s">
        <v>2035</v>
      </c>
      <c r="N819" t="str">
        <f t="shared" si="24"/>
        <v>Pass</v>
      </c>
      <c r="O819" t="str">
        <f t="shared" si="25"/>
        <v>Adult</v>
      </c>
      <c r="P819" t="str" cm="1">
        <f t="array" ref="P819">_xlfn.IFS(K819&gt;90,"Excellent",K819&gt;80,"Very Good",K819&gt;70,"Good",K819&gt;=50,"Poor",K819&lt;50,"Fail")</f>
        <v>Poor</v>
      </c>
    </row>
    <row r="820" spans="1:16" x14ac:dyDescent="0.25">
      <c r="A820" t="s">
        <v>829</v>
      </c>
      <c r="B820" t="s">
        <v>1826</v>
      </c>
      <c r="C820" t="s">
        <v>2287</v>
      </c>
      <c r="D820" t="s">
        <v>2763</v>
      </c>
      <c r="E820" t="s">
        <v>2007</v>
      </c>
      <c r="F820">
        <v>18</v>
      </c>
      <c r="G820" t="s">
        <v>2013</v>
      </c>
      <c r="H820" t="s">
        <v>2015</v>
      </c>
      <c r="I820" t="s">
        <v>2018</v>
      </c>
      <c r="J820" t="s">
        <v>2023</v>
      </c>
      <c r="K820">
        <v>53</v>
      </c>
      <c r="L820" t="s">
        <v>2025</v>
      </c>
      <c r="M820" t="s">
        <v>2035</v>
      </c>
      <c r="N820" t="str">
        <f t="shared" si="24"/>
        <v>Pass</v>
      </c>
      <c r="O820" t="str">
        <f t="shared" si="25"/>
        <v>Adult</v>
      </c>
      <c r="P820" t="str" cm="1">
        <f t="array" ref="P820">_xlfn.IFS(K820&gt;90,"Excellent",K820&gt;80,"Very Good",K820&gt;70,"Good",K820&gt;=50,"Poor",K820&lt;50,"Fail")</f>
        <v>Poor</v>
      </c>
    </row>
    <row r="821" spans="1:16" x14ac:dyDescent="0.25">
      <c r="A821" t="s">
        <v>830</v>
      </c>
      <c r="B821" t="s">
        <v>1827</v>
      </c>
      <c r="C821" t="s">
        <v>2383</v>
      </c>
      <c r="D821" t="s">
        <v>2426</v>
      </c>
      <c r="E821" t="s">
        <v>2007</v>
      </c>
      <c r="F821">
        <v>15</v>
      </c>
      <c r="G821" t="s">
        <v>2011</v>
      </c>
      <c r="H821" t="s">
        <v>2016</v>
      </c>
      <c r="I821" t="s">
        <v>2020</v>
      </c>
      <c r="J821" t="s">
        <v>2023</v>
      </c>
      <c r="K821">
        <v>92</v>
      </c>
      <c r="L821" t="s">
        <v>2032</v>
      </c>
      <c r="M821" t="s">
        <v>2035</v>
      </c>
      <c r="N821" t="str">
        <f t="shared" si="24"/>
        <v>Pass</v>
      </c>
      <c r="O821" t="str">
        <f t="shared" si="25"/>
        <v>UnderAge</v>
      </c>
      <c r="P821" t="str" cm="1">
        <f t="array" ref="P821">_xlfn.IFS(K821&gt;90,"Excellent",K821&gt;80,"Very Good",K821&gt;70,"Good",K821&gt;=50,"Poor",K821&lt;50,"Fail")</f>
        <v>Excellent</v>
      </c>
    </row>
    <row r="822" spans="1:16" x14ac:dyDescent="0.25">
      <c r="A822" t="s">
        <v>831</v>
      </c>
      <c r="B822" t="s">
        <v>1828</v>
      </c>
      <c r="C822" t="s">
        <v>2097</v>
      </c>
      <c r="D822" t="s">
        <v>2799</v>
      </c>
      <c r="E822" t="s">
        <v>2007</v>
      </c>
      <c r="F822">
        <v>17</v>
      </c>
      <c r="G822" t="s">
        <v>2010</v>
      </c>
      <c r="H822" t="s">
        <v>2015</v>
      </c>
      <c r="I822" t="s">
        <v>2021</v>
      </c>
      <c r="J822" t="s">
        <v>2024</v>
      </c>
      <c r="K822">
        <v>33</v>
      </c>
      <c r="L822" t="s">
        <v>2032</v>
      </c>
      <c r="M822" t="s">
        <v>2036</v>
      </c>
      <c r="N822" t="str">
        <f t="shared" si="24"/>
        <v>Fail</v>
      </c>
      <c r="O822" t="str">
        <f t="shared" si="25"/>
        <v>UnderAge</v>
      </c>
      <c r="P822" t="str" cm="1">
        <f t="array" ref="P822">_xlfn.IFS(K822&gt;90,"Excellent",K822&gt;80,"Very Good",K822&gt;70,"Good",K822&gt;=50,"Poor",K822&lt;50,"Fail")</f>
        <v>Fail</v>
      </c>
    </row>
    <row r="823" spans="1:16" x14ac:dyDescent="0.25">
      <c r="A823" t="s">
        <v>832</v>
      </c>
      <c r="B823" t="s">
        <v>1829</v>
      </c>
      <c r="C823" t="s">
        <v>2135</v>
      </c>
      <c r="D823" t="s">
        <v>2788</v>
      </c>
      <c r="E823" t="s">
        <v>2007</v>
      </c>
      <c r="F823">
        <v>15</v>
      </c>
      <c r="G823" t="s">
        <v>2009</v>
      </c>
      <c r="H823" t="s">
        <v>2014</v>
      </c>
      <c r="I823" t="s">
        <v>2020</v>
      </c>
      <c r="J823" t="s">
        <v>2024</v>
      </c>
      <c r="K823">
        <v>93</v>
      </c>
      <c r="L823" t="s">
        <v>2034</v>
      </c>
      <c r="M823" t="s">
        <v>2035</v>
      </c>
      <c r="N823" t="str">
        <f t="shared" si="24"/>
        <v>Pass</v>
      </c>
      <c r="O823" t="str">
        <f t="shared" si="25"/>
        <v>UnderAge</v>
      </c>
      <c r="P823" t="str" cm="1">
        <f t="array" ref="P823">_xlfn.IFS(K823&gt;90,"Excellent",K823&gt;80,"Very Good",K823&gt;70,"Good",K823&gt;=50,"Poor",K823&lt;50,"Fail")</f>
        <v>Excellent</v>
      </c>
    </row>
    <row r="824" spans="1:16" x14ac:dyDescent="0.25">
      <c r="A824" t="s">
        <v>833</v>
      </c>
      <c r="B824" t="s">
        <v>1830</v>
      </c>
      <c r="C824" t="s">
        <v>2218</v>
      </c>
      <c r="D824" t="s">
        <v>2705</v>
      </c>
      <c r="E824" t="s">
        <v>2007</v>
      </c>
      <c r="F824">
        <v>18</v>
      </c>
      <c r="G824" t="s">
        <v>2013</v>
      </c>
      <c r="H824" t="s">
        <v>2015</v>
      </c>
      <c r="I824" t="s">
        <v>2019</v>
      </c>
      <c r="J824" t="s">
        <v>2024</v>
      </c>
      <c r="K824">
        <v>2</v>
      </c>
      <c r="L824" t="s">
        <v>2025</v>
      </c>
      <c r="M824" t="s">
        <v>2036</v>
      </c>
      <c r="N824" t="str">
        <f t="shared" si="24"/>
        <v>Fail</v>
      </c>
      <c r="O824" t="str">
        <f t="shared" si="25"/>
        <v>Adult</v>
      </c>
      <c r="P824" t="str" cm="1">
        <f t="array" ref="P824">_xlfn.IFS(K824&gt;90,"Excellent",K824&gt;80,"Very Good",K824&gt;70,"Good",K824&gt;=50,"Poor",K824&lt;50,"Fail")</f>
        <v>Fail</v>
      </c>
    </row>
    <row r="825" spans="1:16" x14ac:dyDescent="0.25">
      <c r="A825" t="s">
        <v>834</v>
      </c>
      <c r="B825" t="s">
        <v>1831</v>
      </c>
      <c r="C825" t="s">
        <v>2095</v>
      </c>
      <c r="D825" t="s">
        <v>2058</v>
      </c>
      <c r="E825" t="s">
        <v>2007</v>
      </c>
      <c r="F825">
        <v>14</v>
      </c>
      <c r="G825" t="s">
        <v>2013</v>
      </c>
      <c r="H825" t="s">
        <v>2017</v>
      </c>
      <c r="I825" t="s">
        <v>2019</v>
      </c>
      <c r="J825" t="s">
        <v>2024</v>
      </c>
      <c r="K825">
        <v>99</v>
      </c>
      <c r="L825" t="s">
        <v>2033</v>
      </c>
      <c r="M825" t="s">
        <v>2035</v>
      </c>
      <c r="N825" t="str">
        <f t="shared" si="24"/>
        <v>Pass</v>
      </c>
      <c r="O825" t="str">
        <f t="shared" si="25"/>
        <v>UnderAge</v>
      </c>
      <c r="P825" t="str" cm="1">
        <f t="array" ref="P825">_xlfn.IFS(K825&gt;90,"Excellent",K825&gt;80,"Very Good",K825&gt;70,"Good",K825&gt;=50,"Poor",K825&lt;50,"Fail")</f>
        <v>Excellent</v>
      </c>
    </row>
    <row r="826" spans="1:16" x14ac:dyDescent="0.25">
      <c r="A826" t="s">
        <v>835</v>
      </c>
      <c r="B826" t="s">
        <v>1832</v>
      </c>
      <c r="C826" t="s">
        <v>2281</v>
      </c>
      <c r="D826" t="s">
        <v>2056</v>
      </c>
      <c r="E826" t="s">
        <v>2008</v>
      </c>
      <c r="F826">
        <v>15</v>
      </c>
      <c r="G826" t="s">
        <v>2013</v>
      </c>
      <c r="H826" t="s">
        <v>2017</v>
      </c>
      <c r="I826" t="s">
        <v>2021</v>
      </c>
      <c r="J826" t="s">
        <v>2024</v>
      </c>
      <c r="K826">
        <v>70</v>
      </c>
      <c r="L826" t="s">
        <v>2032</v>
      </c>
      <c r="M826" t="s">
        <v>2035</v>
      </c>
      <c r="N826" t="str">
        <f t="shared" si="24"/>
        <v>Pass</v>
      </c>
      <c r="O826" t="str">
        <f t="shared" si="25"/>
        <v>UnderAge</v>
      </c>
      <c r="P826" t="str" cm="1">
        <f t="array" ref="P826">_xlfn.IFS(K826&gt;90,"Excellent",K826&gt;80,"Very Good",K826&gt;70,"Good",K826&gt;=50,"Poor",K826&lt;50,"Fail")</f>
        <v>Poor</v>
      </c>
    </row>
    <row r="827" spans="1:16" x14ac:dyDescent="0.25">
      <c r="A827" t="s">
        <v>836</v>
      </c>
      <c r="B827" t="s">
        <v>1833</v>
      </c>
      <c r="C827" t="s">
        <v>2268</v>
      </c>
      <c r="D827" t="s">
        <v>2185</v>
      </c>
      <c r="E827" t="s">
        <v>2007</v>
      </c>
      <c r="F827">
        <v>15</v>
      </c>
      <c r="G827" t="s">
        <v>2012</v>
      </c>
      <c r="H827" t="s">
        <v>2015</v>
      </c>
      <c r="I827" t="s">
        <v>2020</v>
      </c>
      <c r="J827" t="s">
        <v>2024</v>
      </c>
      <c r="K827">
        <v>48</v>
      </c>
      <c r="L827" t="s">
        <v>2026</v>
      </c>
      <c r="M827" t="s">
        <v>2036</v>
      </c>
      <c r="N827" t="str">
        <f t="shared" si="24"/>
        <v>Fail</v>
      </c>
      <c r="O827" t="str">
        <f t="shared" si="25"/>
        <v>UnderAge</v>
      </c>
      <c r="P827" t="str" cm="1">
        <f t="array" ref="P827">_xlfn.IFS(K827&gt;90,"Excellent",K827&gt;80,"Very Good",K827&gt;70,"Good",K827&gt;=50,"Poor",K827&lt;50,"Fail")</f>
        <v>Fail</v>
      </c>
    </row>
    <row r="828" spans="1:16" x14ac:dyDescent="0.25">
      <c r="A828" t="s">
        <v>837</v>
      </c>
      <c r="B828" t="s">
        <v>1834</v>
      </c>
      <c r="C828" t="s">
        <v>2314</v>
      </c>
      <c r="D828" t="s">
        <v>2800</v>
      </c>
      <c r="E828" t="s">
        <v>2007</v>
      </c>
      <c r="F828">
        <v>18</v>
      </c>
      <c r="G828" t="s">
        <v>2012</v>
      </c>
      <c r="H828" t="s">
        <v>2014</v>
      </c>
      <c r="I828" t="s">
        <v>2019</v>
      </c>
      <c r="J828" t="s">
        <v>2024</v>
      </c>
      <c r="K828">
        <v>66</v>
      </c>
      <c r="L828" t="s">
        <v>2027</v>
      </c>
      <c r="M828" t="s">
        <v>2035</v>
      </c>
      <c r="N828" t="str">
        <f t="shared" si="24"/>
        <v>Pass</v>
      </c>
      <c r="O828" t="str">
        <f t="shared" si="25"/>
        <v>Adult</v>
      </c>
      <c r="P828" t="str" cm="1">
        <f t="array" ref="P828">_xlfn.IFS(K828&gt;90,"Excellent",K828&gt;80,"Very Good",K828&gt;70,"Good",K828&gt;=50,"Poor",K828&lt;50,"Fail")</f>
        <v>Poor</v>
      </c>
    </row>
    <row r="829" spans="1:16" x14ac:dyDescent="0.25">
      <c r="A829" t="s">
        <v>838</v>
      </c>
      <c r="B829" t="s">
        <v>1835</v>
      </c>
      <c r="C829" t="s">
        <v>2139</v>
      </c>
      <c r="D829" t="s">
        <v>2692</v>
      </c>
      <c r="E829" t="s">
        <v>2008</v>
      </c>
      <c r="F829">
        <v>17</v>
      </c>
      <c r="G829" t="s">
        <v>2012</v>
      </c>
      <c r="H829" t="s">
        <v>2016</v>
      </c>
      <c r="I829" t="s">
        <v>2019</v>
      </c>
      <c r="J829" t="s">
        <v>2023</v>
      </c>
      <c r="K829">
        <v>61</v>
      </c>
      <c r="L829" t="s">
        <v>2030</v>
      </c>
      <c r="M829" t="s">
        <v>2035</v>
      </c>
      <c r="N829" t="str">
        <f t="shared" si="24"/>
        <v>Pass</v>
      </c>
      <c r="O829" t="str">
        <f t="shared" si="25"/>
        <v>UnderAge</v>
      </c>
      <c r="P829" t="str" cm="1">
        <f t="array" ref="P829">_xlfn.IFS(K829&gt;90,"Excellent",K829&gt;80,"Very Good",K829&gt;70,"Good",K829&gt;=50,"Poor",K829&lt;50,"Fail")</f>
        <v>Poor</v>
      </c>
    </row>
    <row r="830" spans="1:16" x14ac:dyDescent="0.25">
      <c r="A830" t="s">
        <v>839</v>
      </c>
      <c r="B830" t="s">
        <v>1836</v>
      </c>
      <c r="C830" t="s">
        <v>2089</v>
      </c>
      <c r="D830" t="s">
        <v>2055</v>
      </c>
      <c r="E830" t="s">
        <v>2007</v>
      </c>
      <c r="F830">
        <v>14</v>
      </c>
      <c r="G830" t="s">
        <v>2012</v>
      </c>
      <c r="H830" t="s">
        <v>2016</v>
      </c>
      <c r="I830" t="s">
        <v>2021</v>
      </c>
      <c r="J830" t="s">
        <v>2024</v>
      </c>
      <c r="K830">
        <v>64</v>
      </c>
      <c r="L830" t="s">
        <v>2028</v>
      </c>
      <c r="M830" t="s">
        <v>2035</v>
      </c>
      <c r="N830" t="str">
        <f t="shared" si="24"/>
        <v>Pass</v>
      </c>
      <c r="O830" t="str">
        <f t="shared" si="25"/>
        <v>UnderAge</v>
      </c>
      <c r="P830" t="str" cm="1">
        <f t="array" ref="P830">_xlfn.IFS(K830&gt;90,"Excellent",K830&gt;80,"Very Good",K830&gt;70,"Good",K830&gt;=50,"Poor",K830&lt;50,"Fail")</f>
        <v>Poor</v>
      </c>
    </row>
    <row r="831" spans="1:16" x14ac:dyDescent="0.25">
      <c r="A831" t="s">
        <v>840</v>
      </c>
      <c r="B831" t="s">
        <v>1837</v>
      </c>
      <c r="C831" t="s">
        <v>2283</v>
      </c>
      <c r="D831" t="s">
        <v>2801</v>
      </c>
      <c r="E831" t="s">
        <v>2008</v>
      </c>
      <c r="F831">
        <v>14</v>
      </c>
      <c r="G831" t="s">
        <v>2010</v>
      </c>
      <c r="H831" t="s">
        <v>2017</v>
      </c>
      <c r="I831" t="s">
        <v>2019</v>
      </c>
      <c r="J831" t="s">
        <v>2024</v>
      </c>
      <c r="K831">
        <v>4</v>
      </c>
      <c r="L831" t="s">
        <v>2029</v>
      </c>
      <c r="M831" t="s">
        <v>2036</v>
      </c>
      <c r="N831" t="str">
        <f t="shared" si="24"/>
        <v>Fail</v>
      </c>
      <c r="O831" t="str">
        <f t="shared" si="25"/>
        <v>UnderAge</v>
      </c>
      <c r="P831" t="str" cm="1">
        <f t="array" ref="P831">_xlfn.IFS(K831&gt;90,"Excellent",K831&gt;80,"Very Good",K831&gt;70,"Good",K831&gt;=50,"Poor",K831&lt;50,"Fail")</f>
        <v>Fail</v>
      </c>
    </row>
    <row r="832" spans="1:16" x14ac:dyDescent="0.25">
      <c r="A832" t="s">
        <v>841</v>
      </c>
      <c r="B832" t="s">
        <v>1838</v>
      </c>
      <c r="C832" t="s">
        <v>2057</v>
      </c>
      <c r="D832" t="s">
        <v>2802</v>
      </c>
      <c r="E832" t="s">
        <v>2008</v>
      </c>
      <c r="F832">
        <v>15</v>
      </c>
      <c r="G832" t="s">
        <v>2011</v>
      </c>
      <c r="H832" t="s">
        <v>2015</v>
      </c>
      <c r="I832" t="s">
        <v>2018</v>
      </c>
      <c r="J832" t="s">
        <v>2024</v>
      </c>
      <c r="K832">
        <v>50</v>
      </c>
      <c r="L832" t="s">
        <v>2034</v>
      </c>
      <c r="M832" t="s">
        <v>2035</v>
      </c>
      <c r="N832" t="str">
        <f t="shared" si="24"/>
        <v>Pass</v>
      </c>
      <c r="O832" t="str">
        <f t="shared" si="25"/>
        <v>UnderAge</v>
      </c>
      <c r="P832" t="str" cm="1">
        <f t="array" ref="P832">_xlfn.IFS(K832&gt;90,"Excellent",K832&gt;80,"Very Good",K832&gt;70,"Good",K832&gt;=50,"Poor",K832&lt;50,"Fail")</f>
        <v>Poor</v>
      </c>
    </row>
    <row r="833" spans="1:16" x14ac:dyDescent="0.25">
      <c r="A833" t="s">
        <v>842</v>
      </c>
      <c r="B833" t="s">
        <v>1839</v>
      </c>
      <c r="C833" t="s">
        <v>2384</v>
      </c>
      <c r="D833" t="s">
        <v>2699</v>
      </c>
      <c r="E833" t="s">
        <v>2007</v>
      </c>
      <c r="F833">
        <v>18</v>
      </c>
      <c r="G833" t="s">
        <v>2009</v>
      </c>
      <c r="H833" t="s">
        <v>2014</v>
      </c>
      <c r="I833" t="s">
        <v>2018</v>
      </c>
      <c r="J833" t="s">
        <v>2024</v>
      </c>
      <c r="K833">
        <v>43</v>
      </c>
      <c r="L833" t="s">
        <v>2030</v>
      </c>
      <c r="M833" t="s">
        <v>2036</v>
      </c>
      <c r="N833" t="str">
        <f t="shared" si="24"/>
        <v>Fail</v>
      </c>
      <c r="O833" t="str">
        <f t="shared" si="25"/>
        <v>Adult</v>
      </c>
      <c r="P833" t="str" cm="1">
        <f t="array" ref="P833">_xlfn.IFS(K833&gt;90,"Excellent",K833&gt;80,"Very Good",K833&gt;70,"Good",K833&gt;=50,"Poor",K833&lt;50,"Fail")</f>
        <v>Fail</v>
      </c>
    </row>
    <row r="834" spans="1:16" x14ac:dyDescent="0.25">
      <c r="A834" t="s">
        <v>843</v>
      </c>
      <c r="B834" t="s">
        <v>1840</v>
      </c>
      <c r="C834" t="s">
        <v>2246</v>
      </c>
      <c r="D834" t="s">
        <v>2056</v>
      </c>
      <c r="E834" t="s">
        <v>2008</v>
      </c>
      <c r="F834">
        <v>18</v>
      </c>
      <c r="G834" t="s">
        <v>2010</v>
      </c>
      <c r="H834" t="s">
        <v>2015</v>
      </c>
      <c r="I834" t="s">
        <v>2018</v>
      </c>
      <c r="J834" t="s">
        <v>2023</v>
      </c>
      <c r="K834">
        <v>5</v>
      </c>
      <c r="L834" t="s">
        <v>2025</v>
      </c>
      <c r="M834" t="s">
        <v>2036</v>
      </c>
      <c r="N834" t="str">
        <f t="shared" si="24"/>
        <v>Fail</v>
      </c>
      <c r="O834" t="str">
        <f t="shared" si="25"/>
        <v>Adult</v>
      </c>
      <c r="P834" t="str" cm="1">
        <f t="array" ref="P834">_xlfn.IFS(K834&gt;90,"Excellent",K834&gt;80,"Very Good",K834&gt;70,"Good",K834&gt;=50,"Poor",K834&lt;50,"Fail")</f>
        <v>Fail</v>
      </c>
    </row>
    <row r="835" spans="1:16" x14ac:dyDescent="0.25">
      <c r="A835" t="s">
        <v>844</v>
      </c>
      <c r="B835" t="s">
        <v>1841</v>
      </c>
      <c r="C835" t="s">
        <v>2139</v>
      </c>
      <c r="D835" t="s">
        <v>2474</v>
      </c>
      <c r="E835" t="s">
        <v>2007</v>
      </c>
      <c r="F835">
        <v>16</v>
      </c>
      <c r="G835" t="s">
        <v>2012</v>
      </c>
      <c r="H835" t="s">
        <v>2016</v>
      </c>
      <c r="I835" t="s">
        <v>2019</v>
      </c>
      <c r="J835" t="s">
        <v>2024</v>
      </c>
      <c r="K835">
        <v>66</v>
      </c>
      <c r="L835" t="s">
        <v>2029</v>
      </c>
      <c r="M835" t="s">
        <v>2035</v>
      </c>
      <c r="N835" t="str">
        <f t="shared" ref="N835:N898" si="26">IF(K835&gt;=50,"Pass","Fail")</f>
        <v>Pass</v>
      </c>
      <c r="O835" t="str">
        <f t="shared" ref="O835:O898" si="27">IF(F835&gt;=18,"Adult","UnderAge")</f>
        <v>UnderAge</v>
      </c>
      <c r="P835" t="str" cm="1">
        <f t="array" ref="P835">_xlfn.IFS(K835&gt;90,"Excellent",K835&gt;80,"Very Good",K835&gt;70,"Good",K835&gt;=50,"Poor",K835&lt;50,"Fail")</f>
        <v>Poor</v>
      </c>
    </row>
    <row r="836" spans="1:16" x14ac:dyDescent="0.25">
      <c r="A836" t="s">
        <v>845</v>
      </c>
      <c r="B836" t="s">
        <v>1842</v>
      </c>
      <c r="C836" t="s">
        <v>2068</v>
      </c>
      <c r="D836" t="s">
        <v>2803</v>
      </c>
      <c r="E836" t="s">
        <v>2007</v>
      </c>
      <c r="F836">
        <v>18</v>
      </c>
      <c r="G836" t="s">
        <v>2010</v>
      </c>
      <c r="H836" t="s">
        <v>2016</v>
      </c>
      <c r="I836" t="s">
        <v>2020</v>
      </c>
      <c r="J836" t="s">
        <v>2024</v>
      </c>
      <c r="K836">
        <v>99</v>
      </c>
      <c r="L836" t="s">
        <v>2029</v>
      </c>
      <c r="M836" t="s">
        <v>2035</v>
      </c>
      <c r="N836" t="str">
        <f t="shared" si="26"/>
        <v>Pass</v>
      </c>
      <c r="O836" t="str">
        <f t="shared" si="27"/>
        <v>Adult</v>
      </c>
      <c r="P836" t="str" cm="1">
        <f t="array" ref="P836">_xlfn.IFS(K836&gt;90,"Excellent",K836&gt;80,"Very Good",K836&gt;70,"Good",K836&gt;=50,"Poor",K836&lt;50,"Fail")</f>
        <v>Excellent</v>
      </c>
    </row>
    <row r="837" spans="1:16" x14ac:dyDescent="0.25">
      <c r="A837" t="s">
        <v>846</v>
      </c>
      <c r="B837" t="s">
        <v>1843</v>
      </c>
      <c r="C837" t="s">
        <v>2076</v>
      </c>
      <c r="D837" t="s">
        <v>2804</v>
      </c>
      <c r="E837" t="s">
        <v>2008</v>
      </c>
      <c r="F837">
        <v>16</v>
      </c>
      <c r="G837" t="s">
        <v>2012</v>
      </c>
      <c r="H837" t="s">
        <v>2015</v>
      </c>
      <c r="I837" t="s">
        <v>2022</v>
      </c>
      <c r="J837" t="s">
        <v>2024</v>
      </c>
      <c r="K837">
        <v>58</v>
      </c>
      <c r="L837" t="s">
        <v>2028</v>
      </c>
      <c r="M837" t="s">
        <v>2035</v>
      </c>
      <c r="N837" t="str">
        <f t="shared" si="26"/>
        <v>Pass</v>
      </c>
      <c r="O837" t="str">
        <f t="shared" si="27"/>
        <v>UnderAge</v>
      </c>
      <c r="P837" t="str" cm="1">
        <f t="array" ref="P837">_xlfn.IFS(K837&gt;90,"Excellent",K837&gt;80,"Very Good",K837&gt;70,"Good",K837&gt;=50,"Poor",K837&lt;50,"Fail")</f>
        <v>Poor</v>
      </c>
    </row>
    <row r="838" spans="1:16" x14ac:dyDescent="0.25">
      <c r="A838" t="s">
        <v>847</v>
      </c>
      <c r="B838" t="s">
        <v>1844</v>
      </c>
      <c r="C838" t="s">
        <v>2310</v>
      </c>
      <c r="D838" t="s">
        <v>2805</v>
      </c>
      <c r="E838" t="s">
        <v>2008</v>
      </c>
      <c r="F838">
        <v>14</v>
      </c>
      <c r="G838" t="s">
        <v>2011</v>
      </c>
      <c r="H838" t="s">
        <v>2016</v>
      </c>
      <c r="I838" t="s">
        <v>2018</v>
      </c>
      <c r="J838" t="s">
        <v>2024</v>
      </c>
      <c r="K838">
        <v>100</v>
      </c>
      <c r="L838" t="s">
        <v>2025</v>
      </c>
      <c r="M838" t="s">
        <v>2035</v>
      </c>
      <c r="N838" t="str">
        <f t="shared" si="26"/>
        <v>Pass</v>
      </c>
      <c r="O838" t="str">
        <f t="shared" si="27"/>
        <v>UnderAge</v>
      </c>
      <c r="P838" t="str" cm="1">
        <f t="array" ref="P838">_xlfn.IFS(K838&gt;90,"Excellent",K838&gt;80,"Very Good",K838&gt;70,"Good",K838&gt;=50,"Poor",K838&lt;50,"Fail")</f>
        <v>Excellent</v>
      </c>
    </row>
    <row r="839" spans="1:16" x14ac:dyDescent="0.25">
      <c r="A839" t="s">
        <v>848</v>
      </c>
      <c r="B839" t="s">
        <v>1845</v>
      </c>
      <c r="C839" t="s">
        <v>2105</v>
      </c>
      <c r="D839" t="s">
        <v>2054</v>
      </c>
      <c r="E839" t="s">
        <v>2008</v>
      </c>
      <c r="F839">
        <v>15</v>
      </c>
      <c r="G839" t="s">
        <v>2009</v>
      </c>
      <c r="H839" t="s">
        <v>2015</v>
      </c>
      <c r="I839" t="s">
        <v>2020</v>
      </c>
      <c r="J839" t="s">
        <v>2024</v>
      </c>
      <c r="K839">
        <v>12</v>
      </c>
      <c r="L839" t="s">
        <v>2029</v>
      </c>
      <c r="M839" t="s">
        <v>2036</v>
      </c>
      <c r="N839" t="str">
        <f t="shared" si="26"/>
        <v>Fail</v>
      </c>
      <c r="O839" t="str">
        <f t="shared" si="27"/>
        <v>UnderAge</v>
      </c>
      <c r="P839" t="str" cm="1">
        <f t="array" ref="P839">_xlfn.IFS(K839&gt;90,"Excellent",K839&gt;80,"Very Good",K839&gt;70,"Good",K839&gt;=50,"Poor",K839&lt;50,"Fail")</f>
        <v>Fail</v>
      </c>
    </row>
    <row r="840" spans="1:16" x14ac:dyDescent="0.25">
      <c r="A840" t="s">
        <v>849</v>
      </c>
      <c r="B840" t="s">
        <v>1846</v>
      </c>
      <c r="C840" t="s">
        <v>2271</v>
      </c>
      <c r="D840" t="s">
        <v>2638</v>
      </c>
      <c r="E840" t="s">
        <v>2007</v>
      </c>
      <c r="F840">
        <v>18</v>
      </c>
      <c r="G840" t="s">
        <v>2009</v>
      </c>
      <c r="H840" t="s">
        <v>2017</v>
      </c>
      <c r="I840" t="s">
        <v>2019</v>
      </c>
      <c r="J840" t="s">
        <v>2024</v>
      </c>
      <c r="K840">
        <v>48</v>
      </c>
      <c r="L840" t="s">
        <v>2034</v>
      </c>
      <c r="M840" t="s">
        <v>2036</v>
      </c>
      <c r="N840" t="str">
        <f t="shared" si="26"/>
        <v>Fail</v>
      </c>
      <c r="O840" t="str">
        <f t="shared" si="27"/>
        <v>Adult</v>
      </c>
      <c r="P840" t="str" cm="1">
        <f t="array" ref="P840">_xlfn.IFS(K840&gt;90,"Excellent",K840&gt;80,"Very Good",K840&gt;70,"Good",K840&gt;=50,"Poor",K840&lt;50,"Fail")</f>
        <v>Fail</v>
      </c>
    </row>
    <row r="841" spans="1:16" x14ac:dyDescent="0.25">
      <c r="A841" t="s">
        <v>850</v>
      </c>
      <c r="B841" t="s">
        <v>1847</v>
      </c>
      <c r="C841" t="s">
        <v>2103</v>
      </c>
      <c r="D841" t="s">
        <v>2453</v>
      </c>
      <c r="E841" t="s">
        <v>2008</v>
      </c>
      <c r="F841">
        <v>14</v>
      </c>
      <c r="G841" t="s">
        <v>2009</v>
      </c>
      <c r="H841" t="s">
        <v>2015</v>
      </c>
      <c r="I841" t="s">
        <v>2020</v>
      </c>
      <c r="J841" t="s">
        <v>2024</v>
      </c>
      <c r="K841">
        <v>12</v>
      </c>
      <c r="L841" t="s">
        <v>2033</v>
      </c>
      <c r="M841" t="s">
        <v>2036</v>
      </c>
      <c r="N841" t="str">
        <f t="shared" si="26"/>
        <v>Fail</v>
      </c>
      <c r="O841" t="str">
        <f t="shared" si="27"/>
        <v>UnderAge</v>
      </c>
      <c r="P841" t="str" cm="1">
        <f t="array" ref="P841">_xlfn.IFS(K841&gt;90,"Excellent",K841&gt;80,"Very Good",K841&gt;70,"Good",K841&gt;=50,"Poor",K841&lt;50,"Fail")</f>
        <v>Fail</v>
      </c>
    </row>
    <row r="842" spans="1:16" x14ac:dyDescent="0.25">
      <c r="A842" t="s">
        <v>851</v>
      </c>
      <c r="B842" t="s">
        <v>1848</v>
      </c>
      <c r="C842" t="s">
        <v>2252</v>
      </c>
      <c r="D842" t="s">
        <v>2806</v>
      </c>
      <c r="E842" t="s">
        <v>2007</v>
      </c>
      <c r="F842">
        <v>14</v>
      </c>
      <c r="G842" t="s">
        <v>2012</v>
      </c>
      <c r="H842" t="s">
        <v>2015</v>
      </c>
      <c r="I842" t="s">
        <v>2018</v>
      </c>
      <c r="J842" t="s">
        <v>2024</v>
      </c>
      <c r="K842">
        <v>7</v>
      </c>
      <c r="L842" t="s">
        <v>2031</v>
      </c>
      <c r="M842" t="s">
        <v>2036</v>
      </c>
      <c r="N842" t="str">
        <f t="shared" si="26"/>
        <v>Fail</v>
      </c>
      <c r="O842" t="str">
        <f t="shared" si="27"/>
        <v>UnderAge</v>
      </c>
      <c r="P842" t="str" cm="1">
        <f t="array" ref="P842">_xlfn.IFS(K842&gt;90,"Excellent",K842&gt;80,"Very Good",K842&gt;70,"Good",K842&gt;=50,"Poor",K842&lt;50,"Fail")</f>
        <v>Fail</v>
      </c>
    </row>
    <row r="843" spans="1:16" x14ac:dyDescent="0.25">
      <c r="A843" t="s">
        <v>852</v>
      </c>
      <c r="B843" t="s">
        <v>1849</v>
      </c>
      <c r="C843" t="s">
        <v>2158</v>
      </c>
      <c r="D843" t="s">
        <v>2251</v>
      </c>
      <c r="E843" t="s">
        <v>2008</v>
      </c>
      <c r="F843">
        <v>18</v>
      </c>
      <c r="G843" t="s">
        <v>2012</v>
      </c>
      <c r="H843" t="s">
        <v>2015</v>
      </c>
      <c r="I843" t="s">
        <v>2019</v>
      </c>
      <c r="J843" t="s">
        <v>2024</v>
      </c>
      <c r="K843">
        <v>34</v>
      </c>
      <c r="L843" t="s">
        <v>2032</v>
      </c>
      <c r="M843" t="s">
        <v>2036</v>
      </c>
      <c r="N843" t="str">
        <f t="shared" si="26"/>
        <v>Fail</v>
      </c>
      <c r="O843" t="str">
        <f t="shared" si="27"/>
        <v>Adult</v>
      </c>
      <c r="P843" t="str" cm="1">
        <f t="array" ref="P843">_xlfn.IFS(K843&gt;90,"Excellent",K843&gt;80,"Very Good",K843&gt;70,"Good",K843&gt;=50,"Poor",K843&lt;50,"Fail")</f>
        <v>Fail</v>
      </c>
    </row>
    <row r="844" spans="1:16" x14ac:dyDescent="0.25">
      <c r="A844" t="s">
        <v>853</v>
      </c>
      <c r="B844" t="s">
        <v>1850</v>
      </c>
      <c r="C844" t="s">
        <v>2207</v>
      </c>
      <c r="D844" t="s">
        <v>2807</v>
      </c>
      <c r="E844" t="s">
        <v>2008</v>
      </c>
      <c r="F844">
        <v>14</v>
      </c>
      <c r="G844" t="s">
        <v>2010</v>
      </c>
      <c r="H844" t="s">
        <v>2015</v>
      </c>
      <c r="I844" t="s">
        <v>2021</v>
      </c>
      <c r="J844" t="s">
        <v>2024</v>
      </c>
      <c r="K844">
        <v>35</v>
      </c>
      <c r="L844" t="s">
        <v>2032</v>
      </c>
      <c r="M844" t="s">
        <v>2036</v>
      </c>
      <c r="N844" t="str">
        <f t="shared" si="26"/>
        <v>Fail</v>
      </c>
      <c r="O844" t="str">
        <f t="shared" si="27"/>
        <v>UnderAge</v>
      </c>
      <c r="P844" t="str" cm="1">
        <f t="array" ref="P844">_xlfn.IFS(K844&gt;90,"Excellent",K844&gt;80,"Very Good",K844&gt;70,"Good",K844&gt;=50,"Poor",K844&lt;50,"Fail")</f>
        <v>Fail</v>
      </c>
    </row>
    <row r="845" spans="1:16" x14ac:dyDescent="0.25">
      <c r="A845" t="s">
        <v>854</v>
      </c>
      <c r="B845" t="s">
        <v>1851</v>
      </c>
      <c r="C845" t="s">
        <v>2207</v>
      </c>
      <c r="D845" t="s">
        <v>2501</v>
      </c>
      <c r="E845" t="s">
        <v>2007</v>
      </c>
      <c r="F845">
        <v>15</v>
      </c>
      <c r="G845" t="s">
        <v>2010</v>
      </c>
      <c r="H845" t="s">
        <v>2017</v>
      </c>
      <c r="I845" t="s">
        <v>2020</v>
      </c>
      <c r="J845" t="s">
        <v>2023</v>
      </c>
      <c r="K845">
        <v>95</v>
      </c>
      <c r="L845" t="s">
        <v>2025</v>
      </c>
      <c r="M845" t="s">
        <v>2035</v>
      </c>
      <c r="N845" t="str">
        <f t="shared" si="26"/>
        <v>Pass</v>
      </c>
      <c r="O845" t="str">
        <f t="shared" si="27"/>
        <v>UnderAge</v>
      </c>
      <c r="P845" t="str" cm="1">
        <f t="array" ref="P845">_xlfn.IFS(K845&gt;90,"Excellent",K845&gt;80,"Very Good",K845&gt;70,"Good",K845&gt;=50,"Poor",K845&lt;50,"Fail")</f>
        <v>Excellent</v>
      </c>
    </row>
    <row r="846" spans="1:16" x14ac:dyDescent="0.25">
      <c r="A846" t="s">
        <v>855</v>
      </c>
      <c r="B846" t="s">
        <v>1852</v>
      </c>
      <c r="C846" t="s">
        <v>2139</v>
      </c>
      <c r="D846" t="s">
        <v>2060</v>
      </c>
      <c r="E846" t="s">
        <v>2007</v>
      </c>
      <c r="F846">
        <v>15</v>
      </c>
      <c r="G846" t="s">
        <v>2010</v>
      </c>
      <c r="H846" t="s">
        <v>2015</v>
      </c>
      <c r="I846" t="s">
        <v>2022</v>
      </c>
      <c r="J846" t="s">
        <v>2023</v>
      </c>
      <c r="K846">
        <v>95</v>
      </c>
      <c r="L846" t="s">
        <v>2034</v>
      </c>
      <c r="M846" t="s">
        <v>2035</v>
      </c>
      <c r="N846" t="str">
        <f t="shared" si="26"/>
        <v>Pass</v>
      </c>
      <c r="O846" t="str">
        <f t="shared" si="27"/>
        <v>UnderAge</v>
      </c>
      <c r="P846" t="str" cm="1">
        <f t="array" ref="P846">_xlfn.IFS(K846&gt;90,"Excellent",K846&gt;80,"Very Good",K846&gt;70,"Good",K846&gt;=50,"Poor",K846&lt;50,"Fail")</f>
        <v>Excellent</v>
      </c>
    </row>
    <row r="847" spans="1:16" x14ac:dyDescent="0.25">
      <c r="A847" t="s">
        <v>856</v>
      </c>
      <c r="B847" t="s">
        <v>1853</v>
      </c>
      <c r="C847" t="s">
        <v>2106</v>
      </c>
      <c r="D847" t="s">
        <v>2808</v>
      </c>
      <c r="E847" t="s">
        <v>2008</v>
      </c>
      <c r="F847">
        <v>16</v>
      </c>
      <c r="G847" t="s">
        <v>2013</v>
      </c>
      <c r="H847" t="s">
        <v>2015</v>
      </c>
      <c r="I847" t="s">
        <v>2022</v>
      </c>
      <c r="J847" t="s">
        <v>2024</v>
      </c>
      <c r="K847">
        <v>36</v>
      </c>
      <c r="L847" t="s">
        <v>2028</v>
      </c>
      <c r="M847" t="s">
        <v>2036</v>
      </c>
      <c r="N847" t="str">
        <f t="shared" si="26"/>
        <v>Fail</v>
      </c>
      <c r="O847" t="str">
        <f t="shared" si="27"/>
        <v>UnderAge</v>
      </c>
      <c r="P847" t="str" cm="1">
        <f t="array" ref="P847">_xlfn.IFS(K847&gt;90,"Excellent",K847&gt;80,"Very Good",K847&gt;70,"Good",K847&gt;=50,"Poor",K847&lt;50,"Fail")</f>
        <v>Fail</v>
      </c>
    </row>
    <row r="848" spans="1:16" x14ac:dyDescent="0.25">
      <c r="A848" t="s">
        <v>857</v>
      </c>
      <c r="B848" t="s">
        <v>1854</v>
      </c>
      <c r="C848" t="s">
        <v>2345</v>
      </c>
      <c r="D848" t="s">
        <v>2084</v>
      </c>
      <c r="E848" t="s">
        <v>2008</v>
      </c>
      <c r="F848">
        <v>18</v>
      </c>
      <c r="G848" t="s">
        <v>2009</v>
      </c>
      <c r="H848" t="s">
        <v>2016</v>
      </c>
      <c r="I848" t="s">
        <v>2019</v>
      </c>
      <c r="J848" t="s">
        <v>2024</v>
      </c>
      <c r="K848">
        <v>91</v>
      </c>
      <c r="L848" t="s">
        <v>2028</v>
      </c>
      <c r="M848" t="s">
        <v>2035</v>
      </c>
      <c r="N848" t="str">
        <f t="shared" si="26"/>
        <v>Pass</v>
      </c>
      <c r="O848" t="str">
        <f t="shared" si="27"/>
        <v>Adult</v>
      </c>
      <c r="P848" t="str" cm="1">
        <f t="array" ref="P848">_xlfn.IFS(K848&gt;90,"Excellent",K848&gt;80,"Very Good",K848&gt;70,"Good",K848&gt;=50,"Poor",K848&lt;50,"Fail")</f>
        <v>Excellent</v>
      </c>
    </row>
    <row r="849" spans="1:16" x14ac:dyDescent="0.25">
      <c r="A849" t="s">
        <v>858</v>
      </c>
      <c r="B849" t="s">
        <v>1855</v>
      </c>
      <c r="C849" t="s">
        <v>2207</v>
      </c>
      <c r="D849" t="s">
        <v>2058</v>
      </c>
      <c r="E849" t="s">
        <v>2008</v>
      </c>
      <c r="F849">
        <v>18</v>
      </c>
      <c r="G849" t="s">
        <v>2012</v>
      </c>
      <c r="H849" t="s">
        <v>2015</v>
      </c>
      <c r="I849" t="s">
        <v>2018</v>
      </c>
      <c r="J849" t="s">
        <v>2024</v>
      </c>
      <c r="K849">
        <v>81</v>
      </c>
      <c r="L849" t="s">
        <v>2027</v>
      </c>
      <c r="M849" t="s">
        <v>2035</v>
      </c>
      <c r="N849" t="str">
        <f t="shared" si="26"/>
        <v>Pass</v>
      </c>
      <c r="O849" t="str">
        <f t="shared" si="27"/>
        <v>Adult</v>
      </c>
      <c r="P849" t="str" cm="1">
        <f t="array" ref="P849">_xlfn.IFS(K849&gt;90,"Excellent",K849&gt;80,"Very Good",K849&gt;70,"Good",K849&gt;=50,"Poor",K849&lt;50,"Fail")</f>
        <v>Very Good</v>
      </c>
    </row>
    <row r="850" spans="1:16" x14ac:dyDescent="0.25">
      <c r="A850" t="s">
        <v>859</v>
      </c>
      <c r="B850" t="s">
        <v>1856</v>
      </c>
      <c r="C850" t="s">
        <v>2064</v>
      </c>
      <c r="D850" t="s">
        <v>2602</v>
      </c>
      <c r="E850" t="s">
        <v>2008</v>
      </c>
      <c r="F850">
        <v>18</v>
      </c>
      <c r="G850" t="s">
        <v>2013</v>
      </c>
      <c r="H850" t="s">
        <v>2017</v>
      </c>
      <c r="I850" t="s">
        <v>2019</v>
      </c>
      <c r="J850" t="s">
        <v>2024</v>
      </c>
      <c r="K850">
        <v>75</v>
      </c>
      <c r="L850" t="s">
        <v>2034</v>
      </c>
      <c r="M850" t="s">
        <v>2035</v>
      </c>
      <c r="N850" t="str">
        <f t="shared" si="26"/>
        <v>Pass</v>
      </c>
      <c r="O850" t="str">
        <f t="shared" si="27"/>
        <v>Adult</v>
      </c>
      <c r="P850" t="str" cm="1">
        <f t="array" ref="P850">_xlfn.IFS(K850&gt;90,"Excellent",K850&gt;80,"Very Good",K850&gt;70,"Good",K850&gt;=50,"Poor",K850&lt;50,"Fail")</f>
        <v>Good</v>
      </c>
    </row>
    <row r="851" spans="1:16" x14ac:dyDescent="0.25">
      <c r="A851" t="s">
        <v>860</v>
      </c>
      <c r="B851" t="s">
        <v>1857</v>
      </c>
      <c r="C851" t="s">
        <v>2066</v>
      </c>
      <c r="D851" t="s">
        <v>2809</v>
      </c>
      <c r="E851" t="s">
        <v>2007</v>
      </c>
      <c r="F851">
        <v>17</v>
      </c>
      <c r="G851" t="s">
        <v>2009</v>
      </c>
      <c r="H851" t="s">
        <v>2015</v>
      </c>
      <c r="I851" t="s">
        <v>2021</v>
      </c>
      <c r="J851" t="s">
        <v>2023</v>
      </c>
      <c r="K851">
        <v>39</v>
      </c>
      <c r="L851" t="s">
        <v>2025</v>
      </c>
      <c r="M851" t="s">
        <v>2036</v>
      </c>
      <c r="N851" t="str">
        <f t="shared" si="26"/>
        <v>Fail</v>
      </c>
      <c r="O851" t="str">
        <f t="shared" si="27"/>
        <v>UnderAge</v>
      </c>
      <c r="P851" t="str" cm="1">
        <f t="array" ref="P851">_xlfn.IFS(K851&gt;90,"Excellent",K851&gt;80,"Very Good",K851&gt;70,"Good",K851&gt;=50,"Poor",K851&lt;50,"Fail")</f>
        <v>Fail</v>
      </c>
    </row>
    <row r="852" spans="1:16" x14ac:dyDescent="0.25">
      <c r="A852" t="s">
        <v>861</v>
      </c>
      <c r="B852" t="s">
        <v>1858</v>
      </c>
      <c r="C852" t="s">
        <v>2175</v>
      </c>
      <c r="D852" t="s">
        <v>2759</v>
      </c>
      <c r="E852" t="s">
        <v>2007</v>
      </c>
      <c r="F852">
        <v>16</v>
      </c>
      <c r="G852" t="s">
        <v>2013</v>
      </c>
      <c r="H852" t="s">
        <v>2017</v>
      </c>
      <c r="I852" t="s">
        <v>2020</v>
      </c>
      <c r="J852" t="s">
        <v>2023</v>
      </c>
      <c r="K852">
        <v>50</v>
      </c>
      <c r="L852" t="s">
        <v>2028</v>
      </c>
      <c r="M852" t="s">
        <v>2035</v>
      </c>
      <c r="N852" t="str">
        <f t="shared" si="26"/>
        <v>Pass</v>
      </c>
      <c r="O852" t="str">
        <f t="shared" si="27"/>
        <v>UnderAge</v>
      </c>
      <c r="P852" t="str" cm="1">
        <f t="array" ref="P852">_xlfn.IFS(K852&gt;90,"Excellent",K852&gt;80,"Very Good",K852&gt;70,"Good",K852&gt;=50,"Poor",K852&lt;50,"Fail")</f>
        <v>Poor</v>
      </c>
    </row>
    <row r="853" spans="1:16" x14ac:dyDescent="0.25">
      <c r="A853" t="s">
        <v>862</v>
      </c>
      <c r="B853" t="s">
        <v>1859</v>
      </c>
      <c r="C853" t="s">
        <v>2138</v>
      </c>
      <c r="D853" t="s">
        <v>2810</v>
      </c>
      <c r="E853" t="s">
        <v>2007</v>
      </c>
      <c r="F853">
        <v>18</v>
      </c>
      <c r="G853" t="s">
        <v>2009</v>
      </c>
      <c r="H853" t="s">
        <v>2014</v>
      </c>
      <c r="I853" t="s">
        <v>2020</v>
      </c>
      <c r="J853" t="s">
        <v>2023</v>
      </c>
      <c r="K853">
        <v>51</v>
      </c>
      <c r="L853" t="s">
        <v>2029</v>
      </c>
      <c r="M853" t="s">
        <v>2035</v>
      </c>
      <c r="N853" t="str">
        <f t="shared" si="26"/>
        <v>Pass</v>
      </c>
      <c r="O853" t="str">
        <f t="shared" si="27"/>
        <v>Adult</v>
      </c>
      <c r="P853" t="str" cm="1">
        <f t="array" ref="P853">_xlfn.IFS(K853&gt;90,"Excellent",K853&gt;80,"Very Good",K853&gt;70,"Good",K853&gt;=50,"Poor",K853&lt;50,"Fail")</f>
        <v>Poor</v>
      </c>
    </row>
    <row r="854" spans="1:16" x14ac:dyDescent="0.25">
      <c r="A854" t="s">
        <v>863</v>
      </c>
      <c r="B854" t="s">
        <v>1860</v>
      </c>
      <c r="C854" t="s">
        <v>2256</v>
      </c>
      <c r="D854" t="s">
        <v>2458</v>
      </c>
      <c r="E854" t="s">
        <v>2008</v>
      </c>
      <c r="F854">
        <v>15</v>
      </c>
      <c r="G854" t="s">
        <v>2012</v>
      </c>
      <c r="H854" t="s">
        <v>2014</v>
      </c>
      <c r="I854" t="s">
        <v>2018</v>
      </c>
      <c r="J854" t="s">
        <v>2023</v>
      </c>
      <c r="K854">
        <v>66</v>
      </c>
      <c r="L854" t="s">
        <v>2025</v>
      </c>
      <c r="M854" t="s">
        <v>2035</v>
      </c>
      <c r="N854" t="str">
        <f t="shared" si="26"/>
        <v>Pass</v>
      </c>
      <c r="O854" t="str">
        <f t="shared" si="27"/>
        <v>UnderAge</v>
      </c>
      <c r="P854" t="str" cm="1">
        <f t="array" ref="P854">_xlfn.IFS(K854&gt;90,"Excellent",K854&gt;80,"Very Good",K854&gt;70,"Good",K854&gt;=50,"Poor",K854&lt;50,"Fail")</f>
        <v>Poor</v>
      </c>
    </row>
    <row r="855" spans="1:16" x14ac:dyDescent="0.25">
      <c r="A855" t="s">
        <v>864</v>
      </c>
      <c r="B855" t="s">
        <v>1861</v>
      </c>
      <c r="C855" t="s">
        <v>2178</v>
      </c>
      <c r="D855" t="s">
        <v>2811</v>
      </c>
      <c r="E855" t="s">
        <v>2008</v>
      </c>
      <c r="F855">
        <v>18</v>
      </c>
      <c r="G855" t="s">
        <v>2010</v>
      </c>
      <c r="H855" t="s">
        <v>2015</v>
      </c>
      <c r="I855" t="s">
        <v>2020</v>
      </c>
      <c r="J855" t="s">
        <v>2024</v>
      </c>
      <c r="K855">
        <v>84</v>
      </c>
      <c r="L855" t="s">
        <v>2030</v>
      </c>
      <c r="M855" t="s">
        <v>2035</v>
      </c>
      <c r="N855" t="str">
        <f t="shared" si="26"/>
        <v>Pass</v>
      </c>
      <c r="O855" t="str">
        <f t="shared" si="27"/>
        <v>Adult</v>
      </c>
      <c r="P855" t="str" cm="1">
        <f t="array" ref="P855">_xlfn.IFS(K855&gt;90,"Excellent",K855&gt;80,"Very Good",K855&gt;70,"Good",K855&gt;=50,"Poor",K855&lt;50,"Fail")</f>
        <v>Very Good</v>
      </c>
    </row>
    <row r="856" spans="1:16" x14ac:dyDescent="0.25">
      <c r="A856" t="s">
        <v>865</v>
      </c>
      <c r="B856" t="s">
        <v>1862</v>
      </c>
      <c r="C856" t="s">
        <v>2231</v>
      </c>
      <c r="D856" t="s">
        <v>2812</v>
      </c>
      <c r="E856" t="s">
        <v>2007</v>
      </c>
      <c r="F856">
        <v>18</v>
      </c>
      <c r="G856" t="s">
        <v>2012</v>
      </c>
      <c r="H856" t="s">
        <v>2016</v>
      </c>
      <c r="I856" t="s">
        <v>2021</v>
      </c>
      <c r="J856" t="s">
        <v>2024</v>
      </c>
      <c r="K856">
        <v>12</v>
      </c>
      <c r="L856" t="s">
        <v>2034</v>
      </c>
      <c r="M856" t="s">
        <v>2036</v>
      </c>
      <c r="N856" t="str">
        <f t="shared" si="26"/>
        <v>Fail</v>
      </c>
      <c r="O856" t="str">
        <f t="shared" si="27"/>
        <v>Adult</v>
      </c>
      <c r="P856" t="str" cm="1">
        <f t="array" ref="P856">_xlfn.IFS(K856&gt;90,"Excellent",K856&gt;80,"Very Good",K856&gt;70,"Good",K856&gt;=50,"Poor",K856&lt;50,"Fail")</f>
        <v>Fail</v>
      </c>
    </row>
    <row r="857" spans="1:16" x14ac:dyDescent="0.25">
      <c r="A857" t="s">
        <v>866</v>
      </c>
      <c r="B857" t="s">
        <v>1863</v>
      </c>
      <c r="C857" t="s">
        <v>2088</v>
      </c>
      <c r="D857" t="s">
        <v>2631</v>
      </c>
      <c r="E857" t="s">
        <v>2008</v>
      </c>
      <c r="F857">
        <v>18</v>
      </c>
      <c r="G857" t="s">
        <v>2012</v>
      </c>
      <c r="H857" t="s">
        <v>2016</v>
      </c>
      <c r="I857" t="s">
        <v>2019</v>
      </c>
      <c r="J857" t="s">
        <v>2023</v>
      </c>
      <c r="K857">
        <v>89</v>
      </c>
      <c r="L857" t="s">
        <v>2025</v>
      </c>
      <c r="M857" t="s">
        <v>2035</v>
      </c>
      <c r="N857" t="str">
        <f t="shared" si="26"/>
        <v>Pass</v>
      </c>
      <c r="O857" t="str">
        <f t="shared" si="27"/>
        <v>Adult</v>
      </c>
      <c r="P857" t="str" cm="1">
        <f t="array" ref="P857">_xlfn.IFS(K857&gt;90,"Excellent",K857&gt;80,"Very Good",K857&gt;70,"Good",K857&gt;=50,"Poor",K857&lt;50,"Fail")</f>
        <v>Very Good</v>
      </c>
    </row>
    <row r="858" spans="1:16" x14ac:dyDescent="0.25">
      <c r="A858" t="s">
        <v>867</v>
      </c>
      <c r="B858" t="s">
        <v>1864</v>
      </c>
      <c r="C858" t="s">
        <v>2385</v>
      </c>
      <c r="D858" t="s">
        <v>2682</v>
      </c>
      <c r="E858" t="s">
        <v>2007</v>
      </c>
      <c r="F858">
        <v>15</v>
      </c>
      <c r="G858" t="s">
        <v>2011</v>
      </c>
      <c r="H858" t="s">
        <v>2015</v>
      </c>
      <c r="I858" t="s">
        <v>2019</v>
      </c>
      <c r="J858" t="s">
        <v>2023</v>
      </c>
      <c r="K858">
        <v>68</v>
      </c>
      <c r="L858" t="s">
        <v>2026</v>
      </c>
      <c r="M858" t="s">
        <v>2035</v>
      </c>
      <c r="N858" t="str">
        <f t="shared" si="26"/>
        <v>Pass</v>
      </c>
      <c r="O858" t="str">
        <f t="shared" si="27"/>
        <v>UnderAge</v>
      </c>
      <c r="P858" t="str" cm="1">
        <f t="array" ref="P858">_xlfn.IFS(K858&gt;90,"Excellent",K858&gt;80,"Very Good",K858&gt;70,"Good",K858&gt;=50,"Poor",K858&lt;50,"Fail")</f>
        <v>Poor</v>
      </c>
    </row>
    <row r="859" spans="1:16" x14ac:dyDescent="0.25">
      <c r="A859" t="s">
        <v>868</v>
      </c>
      <c r="B859" t="s">
        <v>1865</v>
      </c>
      <c r="C859" t="s">
        <v>2177</v>
      </c>
      <c r="D859" t="s">
        <v>2056</v>
      </c>
      <c r="E859" t="s">
        <v>2008</v>
      </c>
      <c r="F859">
        <v>14</v>
      </c>
      <c r="G859" t="s">
        <v>2012</v>
      </c>
      <c r="H859" t="s">
        <v>2017</v>
      </c>
      <c r="I859" t="s">
        <v>2022</v>
      </c>
      <c r="J859" t="s">
        <v>2024</v>
      </c>
      <c r="K859">
        <v>97</v>
      </c>
      <c r="L859" t="s">
        <v>2032</v>
      </c>
      <c r="M859" t="s">
        <v>2035</v>
      </c>
      <c r="N859" t="str">
        <f t="shared" si="26"/>
        <v>Pass</v>
      </c>
      <c r="O859" t="str">
        <f t="shared" si="27"/>
        <v>UnderAge</v>
      </c>
      <c r="P859" t="str" cm="1">
        <f t="array" ref="P859">_xlfn.IFS(K859&gt;90,"Excellent",K859&gt;80,"Very Good",K859&gt;70,"Good",K859&gt;=50,"Poor",K859&lt;50,"Fail")</f>
        <v>Excellent</v>
      </c>
    </row>
    <row r="860" spans="1:16" x14ac:dyDescent="0.25">
      <c r="A860" t="s">
        <v>869</v>
      </c>
      <c r="B860" t="s">
        <v>1866</v>
      </c>
      <c r="C860" t="s">
        <v>2064</v>
      </c>
      <c r="D860" t="s">
        <v>2813</v>
      </c>
      <c r="E860" t="s">
        <v>2007</v>
      </c>
      <c r="F860">
        <v>16</v>
      </c>
      <c r="G860" t="s">
        <v>2013</v>
      </c>
      <c r="H860" t="s">
        <v>2017</v>
      </c>
      <c r="I860" t="s">
        <v>2022</v>
      </c>
      <c r="J860" t="s">
        <v>2023</v>
      </c>
      <c r="K860">
        <v>72</v>
      </c>
      <c r="L860" t="s">
        <v>2028</v>
      </c>
      <c r="M860" t="s">
        <v>2035</v>
      </c>
      <c r="N860" t="str">
        <f t="shared" si="26"/>
        <v>Pass</v>
      </c>
      <c r="O860" t="str">
        <f t="shared" si="27"/>
        <v>UnderAge</v>
      </c>
      <c r="P860" t="str" cm="1">
        <f t="array" ref="P860">_xlfn.IFS(K860&gt;90,"Excellent",K860&gt;80,"Very Good",K860&gt;70,"Good",K860&gt;=50,"Poor",K860&lt;50,"Fail")</f>
        <v>Good</v>
      </c>
    </row>
    <row r="861" spans="1:16" x14ac:dyDescent="0.25">
      <c r="A861" t="s">
        <v>870</v>
      </c>
      <c r="B861" t="s">
        <v>1867</v>
      </c>
      <c r="C861" t="s">
        <v>2271</v>
      </c>
      <c r="D861" t="s">
        <v>2767</v>
      </c>
      <c r="E861" t="s">
        <v>2007</v>
      </c>
      <c r="F861">
        <v>15</v>
      </c>
      <c r="G861" t="s">
        <v>2011</v>
      </c>
      <c r="H861" t="s">
        <v>2017</v>
      </c>
      <c r="I861" t="s">
        <v>2019</v>
      </c>
      <c r="J861" t="s">
        <v>2024</v>
      </c>
      <c r="K861">
        <v>76</v>
      </c>
      <c r="L861" t="s">
        <v>2034</v>
      </c>
      <c r="M861" t="s">
        <v>2035</v>
      </c>
      <c r="N861" t="str">
        <f t="shared" si="26"/>
        <v>Pass</v>
      </c>
      <c r="O861" t="str">
        <f t="shared" si="27"/>
        <v>UnderAge</v>
      </c>
      <c r="P861" t="str" cm="1">
        <f t="array" ref="P861">_xlfn.IFS(K861&gt;90,"Excellent",K861&gt;80,"Very Good",K861&gt;70,"Good",K861&gt;=50,"Poor",K861&lt;50,"Fail")</f>
        <v>Good</v>
      </c>
    </row>
    <row r="862" spans="1:16" x14ac:dyDescent="0.25">
      <c r="A862" t="s">
        <v>871</v>
      </c>
      <c r="B862" t="s">
        <v>1868</v>
      </c>
      <c r="C862" t="s">
        <v>2275</v>
      </c>
      <c r="D862" t="s">
        <v>2812</v>
      </c>
      <c r="E862" t="s">
        <v>2008</v>
      </c>
      <c r="F862">
        <v>14</v>
      </c>
      <c r="G862" t="s">
        <v>2011</v>
      </c>
      <c r="H862" t="s">
        <v>2015</v>
      </c>
      <c r="I862" t="s">
        <v>2018</v>
      </c>
      <c r="J862" t="s">
        <v>2023</v>
      </c>
      <c r="K862">
        <v>24</v>
      </c>
      <c r="L862" t="s">
        <v>2027</v>
      </c>
      <c r="M862" t="s">
        <v>2036</v>
      </c>
      <c r="N862" t="str">
        <f t="shared" si="26"/>
        <v>Fail</v>
      </c>
      <c r="O862" t="str">
        <f t="shared" si="27"/>
        <v>UnderAge</v>
      </c>
      <c r="P862" t="str" cm="1">
        <f t="array" ref="P862">_xlfn.IFS(K862&gt;90,"Excellent",K862&gt;80,"Very Good",K862&gt;70,"Good",K862&gt;=50,"Poor",K862&lt;50,"Fail")</f>
        <v>Fail</v>
      </c>
    </row>
    <row r="863" spans="1:16" x14ac:dyDescent="0.25">
      <c r="A863" t="s">
        <v>872</v>
      </c>
      <c r="B863" t="s">
        <v>1869</v>
      </c>
      <c r="C863" t="s">
        <v>2386</v>
      </c>
      <c r="D863" t="s">
        <v>2814</v>
      </c>
      <c r="E863" t="s">
        <v>2007</v>
      </c>
      <c r="F863">
        <v>14</v>
      </c>
      <c r="G863" t="s">
        <v>2010</v>
      </c>
      <c r="H863" t="s">
        <v>2017</v>
      </c>
      <c r="I863" t="s">
        <v>2020</v>
      </c>
      <c r="J863" t="s">
        <v>2023</v>
      </c>
      <c r="K863">
        <v>14</v>
      </c>
      <c r="L863" t="s">
        <v>2029</v>
      </c>
      <c r="M863" t="s">
        <v>2036</v>
      </c>
      <c r="N863" t="str">
        <f t="shared" si="26"/>
        <v>Fail</v>
      </c>
      <c r="O863" t="str">
        <f t="shared" si="27"/>
        <v>UnderAge</v>
      </c>
      <c r="P863" t="str" cm="1">
        <f t="array" ref="P863">_xlfn.IFS(K863&gt;90,"Excellent",K863&gt;80,"Very Good",K863&gt;70,"Good",K863&gt;=50,"Poor",K863&lt;50,"Fail")</f>
        <v>Fail</v>
      </c>
    </row>
    <row r="864" spans="1:16" x14ac:dyDescent="0.25">
      <c r="A864" t="s">
        <v>873</v>
      </c>
      <c r="B864" t="s">
        <v>1870</v>
      </c>
      <c r="C864" t="s">
        <v>2387</v>
      </c>
      <c r="D864" t="s">
        <v>2228</v>
      </c>
      <c r="E864" t="s">
        <v>2008</v>
      </c>
      <c r="F864">
        <v>17</v>
      </c>
      <c r="G864" t="s">
        <v>2009</v>
      </c>
      <c r="H864" t="s">
        <v>2014</v>
      </c>
      <c r="I864" t="s">
        <v>2022</v>
      </c>
      <c r="J864" t="s">
        <v>2023</v>
      </c>
      <c r="K864">
        <v>35</v>
      </c>
      <c r="L864" t="s">
        <v>2028</v>
      </c>
      <c r="M864" t="s">
        <v>2036</v>
      </c>
      <c r="N864" t="str">
        <f t="shared" si="26"/>
        <v>Fail</v>
      </c>
      <c r="O864" t="str">
        <f t="shared" si="27"/>
        <v>UnderAge</v>
      </c>
      <c r="P864" t="str" cm="1">
        <f t="array" ref="P864">_xlfn.IFS(K864&gt;90,"Excellent",K864&gt;80,"Very Good",K864&gt;70,"Good",K864&gt;=50,"Poor",K864&lt;50,"Fail")</f>
        <v>Fail</v>
      </c>
    </row>
    <row r="865" spans="1:16" x14ac:dyDescent="0.25">
      <c r="A865" t="s">
        <v>874</v>
      </c>
      <c r="B865" t="s">
        <v>1871</v>
      </c>
      <c r="C865" t="s">
        <v>2244</v>
      </c>
      <c r="D865" t="s">
        <v>2044</v>
      </c>
      <c r="E865" t="s">
        <v>2008</v>
      </c>
      <c r="F865">
        <v>15</v>
      </c>
      <c r="G865" t="s">
        <v>2013</v>
      </c>
      <c r="H865" t="s">
        <v>2015</v>
      </c>
      <c r="I865" t="s">
        <v>2022</v>
      </c>
      <c r="J865" t="s">
        <v>2023</v>
      </c>
      <c r="K865">
        <v>71</v>
      </c>
      <c r="L865" t="s">
        <v>2031</v>
      </c>
      <c r="M865" t="s">
        <v>2035</v>
      </c>
      <c r="N865" t="str">
        <f t="shared" si="26"/>
        <v>Pass</v>
      </c>
      <c r="O865" t="str">
        <f t="shared" si="27"/>
        <v>UnderAge</v>
      </c>
      <c r="P865" t="str" cm="1">
        <f t="array" ref="P865">_xlfn.IFS(K865&gt;90,"Excellent",K865&gt;80,"Very Good",K865&gt;70,"Good",K865&gt;=50,"Poor",K865&lt;50,"Fail")</f>
        <v>Good</v>
      </c>
    </row>
    <row r="866" spans="1:16" x14ac:dyDescent="0.25">
      <c r="A866" t="s">
        <v>875</v>
      </c>
      <c r="B866" t="s">
        <v>1872</v>
      </c>
      <c r="C866" t="s">
        <v>2097</v>
      </c>
      <c r="D866" t="s">
        <v>2056</v>
      </c>
      <c r="E866" t="s">
        <v>2008</v>
      </c>
      <c r="F866">
        <v>14</v>
      </c>
      <c r="G866" t="s">
        <v>2009</v>
      </c>
      <c r="H866" t="s">
        <v>2014</v>
      </c>
      <c r="I866" t="s">
        <v>2021</v>
      </c>
      <c r="J866" t="s">
        <v>2023</v>
      </c>
      <c r="K866">
        <v>88</v>
      </c>
      <c r="L866" t="s">
        <v>2027</v>
      </c>
      <c r="M866" t="s">
        <v>2035</v>
      </c>
      <c r="N866" t="str">
        <f t="shared" si="26"/>
        <v>Pass</v>
      </c>
      <c r="O866" t="str">
        <f t="shared" si="27"/>
        <v>UnderAge</v>
      </c>
      <c r="P866" t="str" cm="1">
        <f t="array" ref="P866">_xlfn.IFS(K866&gt;90,"Excellent",K866&gt;80,"Very Good",K866&gt;70,"Good",K866&gt;=50,"Poor",K866&lt;50,"Fail")</f>
        <v>Very Good</v>
      </c>
    </row>
    <row r="867" spans="1:16" x14ac:dyDescent="0.25">
      <c r="A867" t="s">
        <v>876</v>
      </c>
      <c r="B867" t="s">
        <v>1873</v>
      </c>
      <c r="C867" t="s">
        <v>2388</v>
      </c>
      <c r="D867" t="s">
        <v>2230</v>
      </c>
      <c r="E867" t="s">
        <v>2007</v>
      </c>
      <c r="F867">
        <v>18</v>
      </c>
      <c r="G867" t="s">
        <v>2009</v>
      </c>
      <c r="H867" t="s">
        <v>2016</v>
      </c>
      <c r="I867" t="s">
        <v>2020</v>
      </c>
      <c r="J867" t="s">
        <v>2024</v>
      </c>
      <c r="K867">
        <v>40</v>
      </c>
      <c r="L867" t="s">
        <v>2028</v>
      </c>
      <c r="M867" t="s">
        <v>2036</v>
      </c>
      <c r="N867" t="str">
        <f t="shared" si="26"/>
        <v>Fail</v>
      </c>
      <c r="O867" t="str">
        <f t="shared" si="27"/>
        <v>Adult</v>
      </c>
      <c r="P867" t="str" cm="1">
        <f t="array" ref="P867">_xlfn.IFS(K867&gt;90,"Excellent",K867&gt;80,"Very Good",K867&gt;70,"Good",K867&gt;=50,"Poor",K867&lt;50,"Fail")</f>
        <v>Fail</v>
      </c>
    </row>
    <row r="868" spans="1:16" x14ac:dyDescent="0.25">
      <c r="A868" t="s">
        <v>877</v>
      </c>
      <c r="B868" t="s">
        <v>1874</v>
      </c>
      <c r="C868" t="s">
        <v>2103</v>
      </c>
      <c r="D868" t="s">
        <v>2815</v>
      </c>
      <c r="E868" t="s">
        <v>2007</v>
      </c>
      <c r="F868">
        <v>14</v>
      </c>
      <c r="G868" t="s">
        <v>2010</v>
      </c>
      <c r="H868" t="s">
        <v>2015</v>
      </c>
      <c r="I868" t="s">
        <v>2020</v>
      </c>
      <c r="J868" t="s">
        <v>2024</v>
      </c>
      <c r="K868">
        <v>16</v>
      </c>
      <c r="L868" t="s">
        <v>2025</v>
      </c>
      <c r="M868" t="s">
        <v>2036</v>
      </c>
      <c r="N868" t="str">
        <f t="shared" si="26"/>
        <v>Fail</v>
      </c>
      <c r="O868" t="str">
        <f t="shared" si="27"/>
        <v>UnderAge</v>
      </c>
      <c r="P868" t="str" cm="1">
        <f t="array" ref="P868">_xlfn.IFS(K868&gt;90,"Excellent",K868&gt;80,"Very Good",K868&gt;70,"Good",K868&gt;=50,"Poor",K868&lt;50,"Fail")</f>
        <v>Fail</v>
      </c>
    </row>
    <row r="869" spans="1:16" x14ac:dyDescent="0.25">
      <c r="A869" t="s">
        <v>878</v>
      </c>
      <c r="B869" t="s">
        <v>1875</v>
      </c>
      <c r="C869" t="s">
        <v>2368</v>
      </c>
      <c r="D869" t="s">
        <v>2417</v>
      </c>
      <c r="E869" t="s">
        <v>2008</v>
      </c>
      <c r="F869">
        <v>15</v>
      </c>
      <c r="G869" t="s">
        <v>2013</v>
      </c>
      <c r="H869" t="s">
        <v>2017</v>
      </c>
      <c r="I869" t="s">
        <v>2021</v>
      </c>
      <c r="J869" t="s">
        <v>2023</v>
      </c>
      <c r="K869">
        <v>70</v>
      </c>
      <c r="L869" t="s">
        <v>2027</v>
      </c>
      <c r="M869" t="s">
        <v>2035</v>
      </c>
      <c r="N869" t="str">
        <f t="shared" si="26"/>
        <v>Pass</v>
      </c>
      <c r="O869" t="str">
        <f t="shared" si="27"/>
        <v>UnderAge</v>
      </c>
      <c r="P869" t="str" cm="1">
        <f t="array" ref="P869">_xlfn.IFS(K869&gt;90,"Excellent",K869&gt;80,"Very Good",K869&gt;70,"Good",K869&gt;=50,"Poor",K869&lt;50,"Fail")</f>
        <v>Poor</v>
      </c>
    </row>
    <row r="870" spans="1:16" x14ac:dyDescent="0.25">
      <c r="A870" t="s">
        <v>879</v>
      </c>
      <c r="B870" t="s">
        <v>1876</v>
      </c>
      <c r="C870" t="s">
        <v>2387</v>
      </c>
      <c r="D870" t="s">
        <v>2732</v>
      </c>
      <c r="E870" t="s">
        <v>2007</v>
      </c>
      <c r="F870">
        <v>16</v>
      </c>
      <c r="G870" t="s">
        <v>2010</v>
      </c>
      <c r="H870" t="s">
        <v>2016</v>
      </c>
      <c r="I870" t="s">
        <v>2021</v>
      </c>
      <c r="J870" t="s">
        <v>2023</v>
      </c>
      <c r="K870">
        <v>76</v>
      </c>
      <c r="L870" t="s">
        <v>2028</v>
      </c>
      <c r="M870" t="s">
        <v>2035</v>
      </c>
      <c r="N870" t="str">
        <f t="shared" si="26"/>
        <v>Pass</v>
      </c>
      <c r="O870" t="str">
        <f t="shared" si="27"/>
        <v>UnderAge</v>
      </c>
      <c r="P870" t="str" cm="1">
        <f t="array" ref="P870">_xlfn.IFS(K870&gt;90,"Excellent",K870&gt;80,"Very Good",K870&gt;70,"Good",K870&gt;=50,"Poor",K870&lt;50,"Fail")</f>
        <v>Good</v>
      </c>
    </row>
    <row r="871" spans="1:16" x14ac:dyDescent="0.25">
      <c r="A871" t="s">
        <v>880</v>
      </c>
      <c r="B871" t="s">
        <v>1877</v>
      </c>
      <c r="C871" t="s">
        <v>2389</v>
      </c>
      <c r="D871" t="s">
        <v>2816</v>
      </c>
      <c r="E871" t="s">
        <v>2007</v>
      </c>
      <c r="F871">
        <v>14</v>
      </c>
      <c r="G871" t="s">
        <v>2010</v>
      </c>
      <c r="H871" t="s">
        <v>2017</v>
      </c>
      <c r="I871" t="s">
        <v>2018</v>
      </c>
      <c r="J871" t="s">
        <v>2023</v>
      </c>
      <c r="K871">
        <v>63</v>
      </c>
      <c r="L871" t="s">
        <v>2034</v>
      </c>
      <c r="M871" t="s">
        <v>2035</v>
      </c>
      <c r="N871" t="str">
        <f t="shared" si="26"/>
        <v>Pass</v>
      </c>
      <c r="O871" t="str">
        <f t="shared" si="27"/>
        <v>UnderAge</v>
      </c>
      <c r="P871" t="str" cm="1">
        <f t="array" ref="P871">_xlfn.IFS(K871&gt;90,"Excellent",K871&gt;80,"Very Good",K871&gt;70,"Good",K871&gt;=50,"Poor",K871&lt;50,"Fail")</f>
        <v>Poor</v>
      </c>
    </row>
    <row r="872" spans="1:16" x14ac:dyDescent="0.25">
      <c r="A872" t="s">
        <v>881</v>
      </c>
      <c r="B872" t="s">
        <v>1878</v>
      </c>
      <c r="C872" t="s">
        <v>2289</v>
      </c>
      <c r="D872" t="s">
        <v>2680</v>
      </c>
      <c r="E872" t="s">
        <v>2007</v>
      </c>
      <c r="F872">
        <v>14</v>
      </c>
      <c r="G872" t="s">
        <v>2011</v>
      </c>
      <c r="H872" t="s">
        <v>2017</v>
      </c>
      <c r="I872" t="s">
        <v>2020</v>
      </c>
      <c r="J872" t="s">
        <v>2024</v>
      </c>
      <c r="K872">
        <v>28</v>
      </c>
      <c r="L872" t="s">
        <v>2033</v>
      </c>
      <c r="M872" t="s">
        <v>2036</v>
      </c>
      <c r="N872" t="str">
        <f t="shared" si="26"/>
        <v>Fail</v>
      </c>
      <c r="O872" t="str">
        <f t="shared" si="27"/>
        <v>UnderAge</v>
      </c>
      <c r="P872" t="str" cm="1">
        <f t="array" ref="P872">_xlfn.IFS(K872&gt;90,"Excellent",K872&gt;80,"Very Good",K872&gt;70,"Good",K872&gt;=50,"Poor",K872&lt;50,"Fail")</f>
        <v>Fail</v>
      </c>
    </row>
    <row r="873" spans="1:16" x14ac:dyDescent="0.25">
      <c r="A873" t="s">
        <v>882</v>
      </c>
      <c r="B873" t="s">
        <v>1879</v>
      </c>
      <c r="C873" t="s">
        <v>2254</v>
      </c>
      <c r="D873" t="s">
        <v>2817</v>
      </c>
      <c r="E873" t="s">
        <v>2007</v>
      </c>
      <c r="F873">
        <v>16</v>
      </c>
      <c r="G873" t="s">
        <v>2010</v>
      </c>
      <c r="H873" t="s">
        <v>2016</v>
      </c>
      <c r="I873" t="s">
        <v>2019</v>
      </c>
      <c r="J873" t="s">
        <v>2023</v>
      </c>
      <c r="K873">
        <v>94</v>
      </c>
      <c r="L873" t="s">
        <v>2029</v>
      </c>
      <c r="M873" t="s">
        <v>2035</v>
      </c>
      <c r="N873" t="str">
        <f t="shared" si="26"/>
        <v>Pass</v>
      </c>
      <c r="O873" t="str">
        <f t="shared" si="27"/>
        <v>UnderAge</v>
      </c>
      <c r="P873" t="str" cm="1">
        <f t="array" ref="P873">_xlfn.IFS(K873&gt;90,"Excellent",K873&gt;80,"Very Good",K873&gt;70,"Good",K873&gt;=50,"Poor",K873&lt;50,"Fail")</f>
        <v>Excellent</v>
      </c>
    </row>
    <row r="874" spans="1:16" x14ac:dyDescent="0.25">
      <c r="A874" t="s">
        <v>883</v>
      </c>
      <c r="B874" t="s">
        <v>1880</v>
      </c>
      <c r="C874" t="s">
        <v>2097</v>
      </c>
      <c r="D874" t="s">
        <v>2577</v>
      </c>
      <c r="E874" t="s">
        <v>2007</v>
      </c>
      <c r="F874">
        <v>15</v>
      </c>
      <c r="G874" t="s">
        <v>2013</v>
      </c>
      <c r="H874" t="s">
        <v>2015</v>
      </c>
      <c r="I874" t="s">
        <v>2020</v>
      </c>
      <c r="J874" t="s">
        <v>2023</v>
      </c>
      <c r="K874">
        <v>73</v>
      </c>
      <c r="L874" t="s">
        <v>2027</v>
      </c>
      <c r="M874" t="s">
        <v>2035</v>
      </c>
      <c r="N874" t="str">
        <f t="shared" si="26"/>
        <v>Pass</v>
      </c>
      <c r="O874" t="str">
        <f t="shared" si="27"/>
        <v>UnderAge</v>
      </c>
      <c r="P874" t="str" cm="1">
        <f t="array" ref="P874">_xlfn.IFS(K874&gt;90,"Excellent",K874&gt;80,"Very Good",K874&gt;70,"Good",K874&gt;=50,"Poor",K874&lt;50,"Fail")</f>
        <v>Good</v>
      </c>
    </row>
    <row r="875" spans="1:16" x14ac:dyDescent="0.25">
      <c r="A875" t="s">
        <v>884</v>
      </c>
      <c r="B875" t="s">
        <v>1881</v>
      </c>
      <c r="C875" t="s">
        <v>2070</v>
      </c>
      <c r="D875" t="s">
        <v>2818</v>
      </c>
      <c r="E875" t="s">
        <v>2008</v>
      </c>
      <c r="F875">
        <v>15</v>
      </c>
      <c r="G875" t="s">
        <v>2010</v>
      </c>
      <c r="H875" t="s">
        <v>2014</v>
      </c>
      <c r="I875" t="s">
        <v>2018</v>
      </c>
      <c r="J875" t="s">
        <v>2024</v>
      </c>
      <c r="K875">
        <v>32</v>
      </c>
      <c r="L875" t="s">
        <v>2031</v>
      </c>
      <c r="M875" t="s">
        <v>2036</v>
      </c>
      <c r="N875" t="str">
        <f t="shared" si="26"/>
        <v>Fail</v>
      </c>
      <c r="O875" t="str">
        <f t="shared" si="27"/>
        <v>UnderAge</v>
      </c>
      <c r="P875" t="str" cm="1">
        <f t="array" ref="P875">_xlfn.IFS(K875&gt;90,"Excellent",K875&gt;80,"Very Good",K875&gt;70,"Good",K875&gt;=50,"Poor",K875&lt;50,"Fail")</f>
        <v>Fail</v>
      </c>
    </row>
    <row r="876" spans="1:16" x14ac:dyDescent="0.25">
      <c r="A876" t="s">
        <v>885</v>
      </c>
      <c r="B876" t="s">
        <v>1882</v>
      </c>
      <c r="C876" t="s">
        <v>2064</v>
      </c>
      <c r="D876" t="s">
        <v>2429</v>
      </c>
      <c r="E876" t="s">
        <v>2007</v>
      </c>
      <c r="F876">
        <v>14</v>
      </c>
      <c r="G876" t="s">
        <v>2010</v>
      </c>
      <c r="H876" t="s">
        <v>2017</v>
      </c>
      <c r="I876" t="s">
        <v>2019</v>
      </c>
      <c r="J876" t="s">
        <v>2024</v>
      </c>
      <c r="K876">
        <v>38</v>
      </c>
      <c r="L876" t="s">
        <v>2029</v>
      </c>
      <c r="M876" t="s">
        <v>2036</v>
      </c>
      <c r="N876" t="str">
        <f t="shared" si="26"/>
        <v>Fail</v>
      </c>
      <c r="O876" t="str">
        <f t="shared" si="27"/>
        <v>UnderAge</v>
      </c>
      <c r="P876" t="str" cm="1">
        <f t="array" ref="P876">_xlfn.IFS(K876&gt;90,"Excellent",K876&gt;80,"Very Good",K876&gt;70,"Good",K876&gt;=50,"Poor",K876&lt;50,"Fail")</f>
        <v>Fail</v>
      </c>
    </row>
    <row r="877" spans="1:16" x14ac:dyDescent="0.25">
      <c r="A877" t="s">
        <v>886</v>
      </c>
      <c r="B877" t="s">
        <v>1883</v>
      </c>
      <c r="C877" t="s">
        <v>2139</v>
      </c>
      <c r="D877" t="s">
        <v>2516</v>
      </c>
      <c r="E877" t="s">
        <v>2007</v>
      </c>
      <c r="F877">
        <v>14</v>
      </c>
      <c r="G877" t="s">
        <v>2010</v>
      </c>
      <c r="H877" t="s">
        <v>2017</v>
      </c>
      <c r="I877" t="s">
        <v>2021</v>
      </c>
      <c r="J877" t="s">
        <v>2023</v>
      </c>
      <c r="K877">
        <v>69</v>
      </c>
      <c r="L877" t="s">
        <v>2025</v>
      </c>
      <c r="M877" t="s">
        <v>2035</v>
      </c>
      <c r="N877" t="str">
        <f t="shared" si="26"/>
        <v>Pass</v>
      </c>
      <c r="O877" t="str">
        <f t="shared" si="27"/>
        <v>UnderAge</v>
      </c>
      <c r="P877" t="str" cm="1">
        <f t="array" ref="P877">_xlfn.IFS(K877&gt;90,"Excellent",K877&gt;80,"Very Good",K877&gt;70,"Good",K877&gt;=50,"Poor",K877&lt;50,"Fail")</f>
        <v>Poor</v>
      </c>
    </row>
    <row r="878" spans="1:16" x14ac:dyDescent="0.25">
      <c r="A878" t="s">
        <v>887</v>
      </c>
      <c r="B878" t="s">
        <v>1884</v>
      </c>
      <c r="C878" t="s">
        <v>2320</v>
      </c>
      <c r="D878" t="s">
        <v>2219</v>
      </c>
      <c r="E878" t="s">
        <v>2008</v>
      </c>
      <c r="F878">
        <v>18</v>
      </c>
      <c r="G878" t="s">
        <v>2012</v>
      </c>
      <c r="H878" t="s">
        <v>2017</v>
      </c>
      <c r="I878" t="s">
        <v>2021</v>
      </c>
      <c r="J878" t="s">
        <v>2024</v>
      </c>
      <c r="K878">
        <v>7</v>
      </c>
      <c r="L878" t="s">
        <v>2029</v>
      </c>
      <c r="M878" t="s">
        <v>2036</v>
      </c>
      <c r="N878" t="str">
        <f t="shared" si="26"/>
        <v>Fail</v>
      </c>
      <c r="O878" t="str">
        <f t="shared" si="27"/>
        <v>Adult</v>
      </c>
      <c r="P878" t="str" cm="1">
        <f t="array" ref="P878">_xlfn.IFS(K878&gt;90,"Excellent",K878&gt;80,"Very Good",K878&gt;70,"Good",K878&gt;=50,"Poor",K878&lt;50,"Fail")</f>
        <v>Fail</v>
      </c>
    </row>
    <row r="879" spans="1:16" x14ac:dyDescent="0.25">
      <c r="A879" t="s">
        <v>888</v>
      </c>
      <c r="B879" t="s">
        <v>1885</v>
      </c>
      <c r="C879" t="s">
        <v>2116</v>
      </c>
      <c r="D879" t="s">
        <v>2447</v>
      </c>
      <c r="E879" t="s">
        <v>2008</v>
      </c>
      <c r="F879">
        <v>16</v>
      </c>
      <c r="G879" t="s">
        <v>2013</v>
      </c>
      <c r="H879" t="s">
        <v>2015</v>
      </c>
      <c r="I879" t="s">
        <v>2018</v>
      </c>
      <c r="J879" t="s">
        <v>2023</v>
      </c>
      <c r="K879">
        <v>27</v>
      </c>
      <c r="L879" t="s">
        <v>2030</v>
      </c>
      <c r="M879" t="s">
        <v>2036</v>
      </c>
      <c r="N879" t="str">
        <f t="shared" si="26"/>
        <v>Fail</v>
      </c>
      <c r="O879" t="str">
        <f t="shared" si="27"/>
        <v>UnderAge</v>
      </c>
      <c r="P879" t="str" cm="1">
        <f t="array" ref="P879">_xlfn.IFS(K879&gt;90,"Excellent",K879&gt;80,"Very Good",K879&gt;70,"Good",K879&gt;=50,"Poor",K879&lt;50,"Fail")</f>
        <v>Fail</v>
      </c>
    </row>
    <row r="880" spans="1:16" x14ac:dyDescent="0.25">
      <c r="A880" t="s">
        <v>889</v>
      </c>
      <c r="B880" t="s">
        <v>1886</v>
      </c>
      <c r="C880" t="s">
        <v>2316</v>
      </c>
      <c r="D880" t="s">
        <v>2426</v>
      </c>
      <c r="E880" t="s">
        <v>2008</v>
      </c>
      <c r="F880">
        <v>18</v>
      </c>
      <c r="G880" t="s">
        <v>2012</v>
      </c>
      <c r="H880" t="s">
        <v>2014</v>
      </c>
      <c r="I880" t="s">
        <v>2019</v>
      </c>
      <c r="J880" t="s">
        <v>2023</v>
      </c>
      <c r="K880">
        <v>28</v>
      </c>
      <c r="L880" t="s">
        <v>2032</v>
      </c>
      <c r="M880" t="s">
        <v>2036</v>
      </c>
      <c r="N880" t="str">
        <f t="shared" si="26"/>
        <v>Fail</v>
      </c>
      <c r="O880" t="str">
        <f t="shared" si="27"/>
        <v>Adult</v>
      </c>
      <c r="P880" t="str" cm="1">
        <f t="array" ref="P880">_xlfn.IFS(K880&gt;90,"Excellent",K880&gt;80,"Very Good",K880&gt;70,"Good",K880&gt;=50,"Poor",K880&lt;50,"Fail")</f>
        <v>Fail</v>
      </c>
    </row>
    <row r="881" spans="1:16" x14ac:dyDescent="0.25">
      <c r="A881" t="s">
        <v>890</v>
      </c>
      <c r="B881" t="s">
        <v>1887</v>
      </c>
      <c r="C881" t="s">
        <v>2279</v>
      </c>
      <c r="D881" t="s">
        <v>2819</v>
      </c>
      <c r="E881" t="s">
        <v>2008</v>
      </c>
      <c r="F881">
        <v>15</v>
      </c>
      <c r="G881" t="s">
        <v>2009</v>
      </c>
      <c r="H881" t="s">
        <v>2015</v>
      </c>
      <c r="I881" t="s">
        <v>2021</v>
      </c>
      <c r="J881" t="s">
        <v>2024</v>
      </c>
      <c r="K881">
        <v>100</v>
      </c>
      <c r="L881" t="s">
        <v>2034</v>
      </c>
      <c r="M881" t="s">
        <v>2035</v>
      </c>
      <c r="N881" t="str">
        <f t="shared" si="26"/>
        <v>Pass</v>
      </c>
      <c r="O881" t="str">
        <f t="shared" si="27"/>
        <v>UnderAge</v>
      </c>
      <c r="P881" t="str" cm="1">
        <f t="array" ref="P881">_xlfn.IFS(K881&gt;90,"Excellent",K881&gt;80,"Very Good",K881&gt;70,"Good",K881&gt;=50,"Poor",K881&lt;50,"Fail")</f>
        <v>Excellent</v>
      </c>
    </row>
    <row r="882" spans="1:16" x14ac:dyDescent="0.25">
      <c r="A882" t="s">
        <v>891</v>
      </c>
      <c r="B882" t="s">
        <v>1888</v>
      </c>
      <c r="C882" t="s">
        <v>2148</v>
      </c>
      <c r="D882" t="s">
        <v>2188</v>
      </c>
      <c r="E882" t="s">
        <v>2007</v>
      </c>
      <c r="F882">
        <v>14</v>
      </c>
      <c r="G882" t="s">
        <v>2013</v>
      </c>
      <c r="H882" t="s">
        <v>2014</v>
      </c>
      <c r="I882" t="s">
        <v>2019</v>
      </c>
      <c r="J882" t="s">
        <v>2024</v>
      </c>
      <c r="K882">
        <v>29</v>
      </c>
      <c r="L882" t="s">
        <v>2028</v>
      </c>
      <c r="M882" t="s">
        <v>2036</v>
      </c>
      <c r="N882" t="str">
        <f t="shared" si="26"/>
        <v>Fail</v>
      </c>
      <c r="O882" t="str">
        <f t="shared" si="27"/>
        <v>UnderAge</v>
      </c>
      <c r="P882" t="str" cm="1">
        <f t="array" ref="P882">_xlfn.IFS(K882&gt;90,"Excellent",K882&gt;80,"Very Good",K882&gt;70,"Good",K882&gt;=50,"Poor",K882&lt;50,"Fail")</f>
        <v>Fail</v>
      </c>
    </row>
    <row r="883" spans="1:16" x14ac:dyDescent="0.25">
      <c r="A883" t="s">
        <v>892</v>
      </c>
      <c r="B883" t="s">
        <v>1889</v>
      </c>
      <c r="C883" t="s">
        <v>2065</v>
      </c>
      <c r="D883" t="s">
        <v>2819</v>
      </c>
      <c r="E883" t="s">
        <v>2007</v>
      </c>
      <c r="F883">
        <v>17</v>
      </c>
      <c r="G883" t="s">
        <v>2013</v>
      </c>
      <c r="H883" t="s">
        <v>2014</v>
      </c>
      <c r="I883" t="s">
        <v>2021</v>
      </c>
      <c r="J883" t="s">
        <v>2023</v>
      </c>
      <c r="K883">
        <v>67</v>
      </c>
      <c r="L883" t="s">
        <v>2026</v>
      </c>
      <c r="M883" t="s">
        <v>2035</v>
      </c>
      <c r="N883" t="str">
        <f t="shared" si="26"/>
        <v>Pass</v>
      </c>
      <c r="O883" t="str">
        <f t="shared" si="27"/>
        <v>UnderAge</v>
      </c>
      <c r="P883" t="str" cm="1">
        <f t="array" ref="P883">_xlfn.IFS(K883&gt;90,"Excellent",K883&gt;80,"Very Good",K883&gt;70,"Good",K883&gt;=50,"Poor",K883&lt;50,"Fail")</f>
        <v>Poor</v>
      </c>
    </row>
    <row r="884" spans="1:16" x14ac:dyDescent="0.25">
      <c r="A884" t="s">
        <v>893</v>
      </c>
      <c r="B884" t="s">
        <v>1890</v>
      </c>
      <c r="C884" t="s">
        <v>2235</v>
      </c>
      <c r="D884" t="s">
        <v>2462</v>
      </c>
      <c r="E884" t="s">
        <v>2007</v>
      </c>
      <c r="F884">
        <v>17</v>
      </c>
      <c r="G884" t="s">
        <v>2012</v>
      </c>
      <c r="H884" t="s">
        <v>2015</v>
      </c>
      <c r="I884" t="s">
        <v>2022</v>
      </c>
      <c r="J884" t="s">
        <v>2023</v>
      </c>
      <c r="K884">
        <v>90</v>
      </c>
      <c r="L884" t="s">
        <v>2029</v>
      </c>
      <c r="M884" t="s">
        <v>2035</v>
      </c>
      <c r="N884" t="str">
        <f t="shared" si="26"/>
        <v>Pass</v>
      </c>
      <c r="O884" t="str">
        <f t="shared" si="27"/>
        <v>UnderAge</v>
      </c>
      <c r="P884" t="str" cm="1">
        <f t="array" ref="P884">_xlfn.IFS(K884&gt;90,"Excellent",K884&gt;80,"Very Good",K884&gt;70,"Good",K884&gt;=50,"Poor",K884&lt;50,"Fail")</f>
        <v>Very Good</v>
      </c>
    </row>
    <row r="885" spans="1:16" x14ac:dyDescent="0.25">
      <c r="A885" t="s">
        <v>894</v>
      </c>
      <c r="B885" t="s">
        <v>1891</v>
      </c>
      <c r="C885" t="s">
        <v>2282</v>
      </c>
      <c r="D885" t="s">
        <v>2057</v>
      </c>
      <c r="E885" t="s">
        <v>2007</v>
      </c>
      <c r="F885">
        <v>15</v>
      </c>
      <c r="G885" t="s">
        <v>2009</v>
      </c>
      <c r="H885" t="s">
        <v>2015</v>
      </c>
      <c r="I885" t="s">
        <v>2019</v>
      </c>
      <c r="J885" t="s">
        <v>2023</v>
      </c>
      <c r="K885">
        <v>85</v>
      </c>
      <c r="L885" t="s">
        <v>2029</v>
      </c>
      <c r="M885" t="s">
        <v>2035</v>
      </c>
      <c r="N885" t="str">
        <f t="shared" si="26"/>
        <v>Pass</v>
      </c>
      <c r="O885" t="str">
        <f t="shared" si="27"/>
        <v>UnderAge</v>
      </c>
      <c r="P885" t="str" cm="1">
        <f t="array" ref="P885">_xlfn.IFS(K885&gt;90,"Excellent",K885&gt;80,"Very Good",K885&gt;70,"Good",K885&gt;=50,"Poor",K885&lt;50,"Fail")</f>
        <v>Very Good</v>
      </c>
    </row>
    <row r="886" spans="1:16" x14ac:dyDescent="0.25">
      <c r="A886" t="s">
        <v>895</v>
      </c>
      <c r="B886" t="s">
        <v>1892</v>
      </c>
      <c r="C886" t="s">
        <v>2390</v>
      </c>
      <c r="D886" t="s">
        <v>2430</v>
      </c>
      <c r="E886" t="s">
        <v>2007</v>
      </c>
      <c r="F886">
        <v>17</v>
      </c>
      <c r="G886" t="s">
        <v>2011</v>
      </c>
      <c r="H886" t="s">
        <v>2017</v>
      </c>
      <c r="I886" t="s">
        <v>2019</v>
      </c>
      <c r="J886" t="s">
        <v>2023</v>
      </c>
      <c r="K886">
        <v>48</v>
      </c>
      <c r="L886" t="s">
        <v>2025</v>
      </c>
      <c r="M886" t="s">
        <v>2036</v>
      </c>
      <c r="N886" t="str">
        <f t="shared" si="26"/>
        <v>Fail</v>
      </c>
      <c r="O886" t="str">
        <f t="shared" si="27"/>
        <v>UnderAge</v>
      </c>
      <c r="P886" t="str" cm="1">
        <f t="array" ref="P886">_xlfn.IFS(K886&gt;90,"Excellent",K886&gt;80,"Very Good",K886&gt;70,"Good",K886&gt;=50,"Poor",K886&lt;50,"Fail")</f>
        <v>Fail</v>
      </c>
    </row>
    <row r="887" spans="1:16" x14ac:dyDescent="0.25">
      <c r="A887" t="s">
        <v>896</v>
      </c>
      <c r="B887" t="s">
        <v>1893</v>
      </c>
      <c r="C887" t="s">
        <v>2391</v>
      </c>
      <c r="D887" t="s">
        <v>2770</v>
      </c>
      <c r="E887" t="s">
        <v>2008</v>
      </c>
      <c r="F887">
        <v>16</v>
      </c>
      <c r="G887" t="s">
        <v>2010</v>
      </c>
      <c r="H887" t="s">
        <v>2017</v>
      </c>
      <c r="I887" t="s">
        <v>2021</v>
      </c>
      <c r="J887" t="s">
        <v>2023</v>
      </c>
      <c r="K887">
        <v>10</v>
      </c>
      <c r="L887" t="s">
        <v>2026</v>
      </c>
      <c r="M887" t="s">
        <v>2036</v>
      </c>
      <c r="N887" t="str">
        <f t="shared" si="26"/>
        <v>Fail</v>
      </c>
      <c r="O887" t="str">
        <f t="shared" si="27"/>
        <v>UnderAge</v>
      </c>
      <c r="P887" t="str" cm="1">
        <f t="array" ref="P887">_xlfn.IFS(K887&gt;90,"Excellent",K887&gt;80,"Very Good",K887&gt;70,"Good",K887&gt;=50,"Poor",K887&lt;50,"Fail")</f>
        <v>Fail</v>
      </c>
    </row>
    <row r="888" spans="1:16" x14ac:dyDescent="0.25">
      <c r="A888" t="s">
        <v>897</v>
      </c>
      <c r="B888" t="s">
        <v>1894</v>
      </c>
      <c r="C888" t="s">
        <v>2392</v>
      </c>
      <c r="D888" t="s">
        <v>2707</v>
      </c>
      <c r="E888" t="s">
        <v>2008</v>
      </c>
      <c r="F888">
        <v>18</v>
      </c>
      <c r="G888" t="s">
        <v>2009</v>
      </c>
      <c r="H888" t="s">
        <v>2016</v>
      </c>
      <c r="I888" t="s">
        <v>2022</v>
      </c>
      <c r="J888" t="s">
        <v>2024</v>
      </c>
      <c r="K888">
        <v>21</v>
      </c>
      <c r="L888" t="s">
        <v>2026</v>
      </c>
      <c r="M888" t="s">
        <v>2036</v>
      </c>
      <c r="N888" t="str">
        <f t="shared" si="26"/>
        <v>Fail</v>
      </c>
      <c r="O888" t="str">
        <f t="shared" si="27"/>
        <v>Adult</v>
      </c>
      <c r="P888" t="str" cm="1">
        <f t="array" ref="P888">_xlfn.IFS(K888&gt;90,"Excellent",K888&gt;80,"Very Good",K888&gt;70,"Good",K888&gt;=50,"Poor",K888&lt;50,"Fail")</f>
        <v>Fail</v>
      </c>
    </row>
    <row r="889" spans="1:16" x14ac:dyDescent="0.25">
      <c r="A889" t="s">
        <v>898</v>
      </c>
      <c r="B889" t="s">
        <v>1895</v>
      </c>
      <c r="C889" t="s">
        <v>2126</v>
      </c>
      <c r="D889" t="s">
        <v>2228</v>
      </c>
      <c r="E889" t="s">
        <v>2007</v>
      </c>
      <c r="F889">
        <v>15</v>
      </c>
      <c r="G889" t="s">
        <v>2012</v>
      </c>
      <c r="H889" t="s">
        <v>2014</v>
      </c>
      <c r="I889" t="s">
        <v>2022</v>
      </c>
      <c r="J889" t="s">
        <v>2023</v>
      </c>
      <c r="K889">
        <v>14</v>
      </c>
      <c r="L889" t="s">
        <v>2032</v>
      </c>
      <c r="M889" t="s">
        <v>2036</v>
      </c>
      <c r="N889" t="str">
        <f t="shared" si="26"/>
        <v>Fail</v>
      </c>
      <c r="O889" t="str">
        <f t="shared" si="27"/>
        <v>UnderAge</v>
      </c>
      <c r="P889" t="str" cm="1">
        <f t="array" ref="P889">_xlfn.IFS(K889&gt;90,"Excellent",K889&gt;80,"Very Good",K889&gt;70,"Good",K889&gt;=50,"Poor",K889&lt;50,"Fail")</f>
        <v>Fail</v>
      </c>
    </row>
    <row r="890" spans="1:16" x14ac:dyDescent="0.25">
      <c r="A890" t="s">
        <v>899</v>
      </c>
      <c r="B890" t="s">
        <v>1896</v>
      </c>
      <c r="C890" t="s">
        <v>2132</v>
      </c>
      <c r="D890" t="s">
        <v>2820</v>
      </c>
      <c r="E890" t="s">
        <v>2007</v>
      </c>
      <c r="F890">
        <v>15</v>
      </c>
      <c r="G890" t="s">
        <v>2012</v>
      </c>
      <c r="H890" t="s">
        <v>2017</v>
      </c>
      <c r="I890" t="s">
        <v>2020</v>
      </c>
      <c r="J890" t="s">
        <v>2024</v>
      </c>
      <c r="K890">
        <v>78</v>
      </c>
      <c r="L890" t="s">
        <v>2032</v>
      </c>
      <c r="M890" t="s">
        <v>2035</v>
      </c>
      <c r="N890" t="str">
        <f t="shared" si="26"/>
        <v>Pass</v>
      </c>
      <c r="O890" t="str">
        <f t="shared" si="27"/>
        <v>UnderAge</v>
      </c>
      <c r="P890" t="str" cm="1">
        <f t="array" ref="P890">_xlfn.IFS(K890&gt;90,"Excellent",K890&gt;80,"Very Good",K890&gt;70,"Good",K890&gt;=50,"Poor",K890&lt;50,"Fail")</f>
        <v>Good</v>
      </c>
    </row>
    <row r="891" spans="1:16" x14ac:dyDescent="0.25">
      <c r="A891" t="s">
        <v>900</v>
      </c>
      <c r="B891" t="s">
        <v>1897</v>
      </c>
      <c r="C891" t="s">
        <v>2393</v>
      </c>
      <c r="D891" t="s">
        <v>2821</v>
      </c>
      <c r="E891" t="s">
        <v>2007</v>
      </c>
      <c r="F891">
        <v>15</v>
      </c>
      <c r="G891" t="s">
        <v>2011</v>
      </c>
      <c r="H891" t="s">
        <v>2015</v>
      </c>
      <c r="I891" t="s">
        <v>2019</v>
      </c>
      <c r="J891" t="s">
        <v>2023</v>
      </c>
      <c r="K891">
        <v>26</v>
      </c>
      <c r="L891" t="s">
        <v>2027</v>
      </c>
      <c r="M891" t="s">
        <v>2036</v>
      </c>
      <c r="N891" t="str">
        <f t="shared" si="26"/>
        <v>Fail</v>
      </c>
      <c r="O891" t="str">
        <f t="shared" si="27"/>
        <v>UnderAge</v>
      </c>
      <c r="P891" t="str" cm="1">
        <f t="array" ref="P891">_xlfn.IFS(K891&gt;90,"Excellent",K891&gt;80,"Very Good",K891&gt;70,"Good",K891&gt;=50,"Poor",K891&lt;50,"Fail")</f>
        <v>Fail</v>
      </c>
    </row>
    <row r="892" spans="1:16" x14ac:dyDescent="0.25">
      <c r="A892" t="s">
        <v>901</v>
      </c>
      <c r="B892" t="s">
        <v>1898</v>
      </c>
      <c r="C892" t="s">
        <v>2394</v>
      </c>
      <c r="D892" t="s">
        <v>2054</v>
      </c>
      <c r="E892" t="s">
        <v>2007</v>
      </c>
      <c r="F892">
        <v>17</v>
      </c>
      <c r="G892" t="s">
        <v>2012</v>
      </c>
      <c r="H892" t="s">
        <v>2015</v>
      </c>
      <c r="I892" t="s">
        <v>2022</v>
      </c>
      <c r="J892" t="s">
        <v>2023</v>
      </c>
      <c r="K892">
        <v>85</v>
      </c>
      <c r="L892" t="s">
        <v>2027</v>
      </c>
      <c r="M892" t="s">
        <v>2035</v>
      </c>
      <c r="N892" t="str">
        <f t="shared" si="26"/>
        <v>Pass</v>
      </c>
      <c r="O892" t="str">
        <f t="shared" si="27"/>
        <v>UnderAge</v>
      </c>
      <c r="P892" t="str" cm="1">
        <f t="array" ref="P892">_xlfn.IFS(K892&gt;90,"Excellent",K892&gt;80,"Very Good",K892&gt;70,"Good",K892&gt;=50,"Poor",K892&lt;50,"Fail")</f>
        <v>Very Good</v>
      </c>
    </row>
    <row r="893" spans="1:16" x14ac:dyDescent="0.25">
      <c r="A893" t="s">
        <v>902</v>
      </c>
      <c r="B893" t="s">
        <v>1899</v>
      </c>
      <c r="C893" t="s">
        <v>2311</v>
      </c>
      <c r="D893" t="s">
        <v>2822</v>
      </c>
      <c r="E893" t="s">
        <v>2007</v>
      </c>
      <c r="F893">
        <v>16</v>
      </c>
      <c r="G893" t="s">
        <v>2012</v>
      </c>
      <c r="H893" t="s">
        <v>2016</v>
      </c>
      <c r="I893" t="s">
        <v>2018</v>
      </c>
      <c r="J893" t="s">
        <v>2023</v>
      </c>
      <c r="K893">
        <v>7</v>
      </c>
      <c r="L893" t="s">
        <v>2028</v>
      </c>
      <c r="M893" t="s">
        <v>2036</v>
      </c>
      <c r="N893" t="str">
        <f t="shared" si="26"/>
        <v>Fail</v>
      </c>
      <c r="O893" t="str">
        <f t="shared" si="27"/>
        <v>UnderAge</v>
      </c>
      <c r="P893" t="str" cm="1">
        <f t="array" ref="P893">_xlfn.IFS(K893&gt;90,"Excellent",K893&gt;80,"Very Good",K893&gt;70,"Good",K893&gt;=50,"Poor",K893&lt;50,"Fail")</f>
        <v>Fail</v>
      </c>
    </row>
    <row r="894" spans="1:16" x14ac:dyDescent="0.25">
      <c r="A894" t="s">
        <v>903</v>
      </c>
      <c r="B894" t="s">
        <v>1900</v>
      </c>
      <c r="C894" t="s">
        <v>2241</v>
      </c>
      <c r="D894" t="s">
        <v>2531</v>
      </c>
      <c r="E894" t="s">
        <v>2008</v>
      </c>
      <c r="F894">
        <v>14</v>
      </c>
      <c r="G894" t="s">
        <v>2011</v>
      </c>
      <c r="H894" t="s">
        <v>2014</v>
      </c>
      <c r="I894" t="s">
        <v>2018</v>
      </c>
      <c r="J894" t="s">
        <v>2023</v>
      </c>
      <c r="K894">
        <v>58</v>
      </c>
      <c r="L894" t="s">
        <v>2030</v>
      </c>
      <c r="M894" t="s">
        <v>2035</v>
      </c>
      <c r="N894" t="str">
        <f t="shared" si="26"/>
        <v>Pass</v>
      </c>
      <c r="O894" t="str">
        <f t="shared" si="27"/>
        <v>UnderAge</v>
      </c>
      <c r="P894" t="str" cm="1">
        <f t="array" ref="P894">_xlfn.IFS(K894&gt;90,"Excellent",K894&gt;80,"Very Good",K894&gt;70,"Good",K894&gt;=50,"Poor",K894&lt;50,"Fail")</f>
        <v>Poor</v>
      </c>
    </row>
    <row r="895" spans="1:16" x14ac:dyDescent="0.25">
      <c r="A895" t="s">
        <v>904</v>
      </c>
      <c r="B895" t="s">
        <v>1901</v>
      </c>
      <c r="C895" t="s">
        <v>2395</v>
      </c>
      <c r="D895" t="s">
        <v>2450</v>
      </c>
      <c r="E895" t="s">
        <v>2008</v>
      </c>
      <c r="F895">
        <v>15</v>
      </c>
      <c r="G895" t="s">
        <v>2010</v>
      </c>
      <c r="H895" t="s">
        <v>2016</v>
      </c>
      <c r="I895" t="s">
        <v>2022</v>
      </c>
      <c r="J895" t="s">
        <v>2023</v>
      </c>
      <c r="K895">
        <v>1</v>
      </c>
      <c r="L895" t="s">
        <v>2026</v>
      </c>
      <c r="M895" t="s">
        <v>2036</v>
      </c>
      <c r="N895" t="str">
        <f t="shared" si="26"/>
        <v>Fail</v>
      </c>
      <c r="O895" t="str">
        <f t="shared" si="27"/>
        <v>UnderAge</v>
      </c>
      <c r="P895" t="str" cm="1">
        <f t="array" ref="P895">_xlfn.IFS(K895&gt;90,"Excellent",K895&gt;80,"Very Good",K895&gt;70,"Good",K895&gt;=50,"Poor",K895&lt;50,"Fail")</f>
        <v>Fail</v>
      </c>
    </row>
    <row r="896" spans="1:16" x14ac:dyDescent="0.25">
      <c r="A896" t="s">
        <v>905</v>
      </c>
      <c r="B896" t="s">
        <v>1902</v>
      </c>
      <c r="C896" t="s">
        <v>2280</v>
      </c>
      <c r="D896" t="s">
        <v>2524</v>
      </c>
      <c r="E896" t="s">
        <v>2007</v>
      </c>
      <c r="F896">
        <v>15</v>
      </c>
      <c r="G896" t="s">
        <v>2010</v>
      </c>
      <c r="H896" t="s">
        <v>2017</v>
      </c>
      <c r="I896" t="s">
        <v>2019</v>
      </c>
      <c r="J896" t="s">
        <v>2023</v>
      </c>
      <c r="K896">
        <v>87</v>
      </c>
      <c r="L896" t="s">
        <v>2030</v>
      </c>
      <c r="M896" t="s">
        <v>2035</v>
      </c>
      <c r="N896" t="str">
        <f t="shared" si="26"/>
        <v>Pass</v>
      </c>
      <c r="O896" t="str">
        <f t="shared" si="27"/>
        <v>UnderAge</v>
      </c>
      <c r="P896" t="str" cm="1">
        <f t="array" ref="P896">_xlfn.IFS(K896&gt;90,"Excellent",K896&gt;80,"Very Good",K896&gt;70,"Good",K896&gt;=50,"Poor",K896&lt;50,"Fail")</f>
        <v>Very Good</v>
      </c>
    </row>
    <row r="897" spans="1:16" x14ac:dyDescent="0.25">
      <c r="A897" t="s">
        <v>906</v>
      </c>
      <c r="B897" t="s">
        <v>1903</v>
      </c>
      <c r="C897" t="s">
        <v>2085</v>
      </c>
      <c r="D897" t="s">
        <v>2823</v>
      </c>
      <c r="E897" t="s">
        <v>2007</v>
      </c>
      <c r="F897">
        <v>18</v>
      </c>
      <c r="G897" t="s">
        <v>2013</v>
      </c>
      <c r="H897" t="s">
        <v>2014</v>
      </c>
      <c r="I897" t="s">
        <v>2021</v>
      </c>
      <c r="J897" t="s">
        <v>2023</v>
      </c>
      <c r="K897">
        <v>0</v>
      </c>
      <c r="L897" t="s">
        <v>2031</v>
      </c>
      <c r="M897" t="s">
        <v>2036</v>
      </c>
      <c r="N897" t="str">
        <f t="shared" si="26"/>
        <v>Fail</v>
      </c>
      <c r="O897" t="str">
        <f t="shared" si="27"/>
        <v>Adult</v>
      </c>
      <c r="P897" t="str" cm="1">
        <f t="array" ref="P897">_xlfn.IFS(K897&gt;90,"Excellent",K897&gt;80,"Very Good",K897&gt;70,"Good",K897&gt;=50,"Poor",K897&lt;50,"Fail")</f>
        <v>Fail</v>
      </c>
    </row>
    <row r="898" spans="1:16" x14ac:dyDescent="0.25">
      <c r="A898" t="s">
        <v>907</v>
      </c>
      <c r="B898" t="s">
        <v>1904</v>
      </c>
      <c r="C898" t="s">
        <v>2119</v>
      </c>
      <c r="D898" t="s">
        <v>2058</v>
      </c>
      <c r="E898" t="s">
        <v>2007</v>
      </c>
      <c r="F898">
        <v>17</v>
      </c>
      <c r="G898" t="s">
        <v>2012</v>
      </c>
      <c r="H898" t="s">
        <v>2017</v>
      </c>
      <c r="I898" t="s">
        <v>2019</v>
      </c>
      <c r="J898" t="s">
        <v>2023</v>
      </c>
      <c r="K898">
        <v>77</v>
      </c>
      <c r="L898" t="s">
        <v>2033</v>
      </c>
      <c r="M898" t="s">
        <v>2035</v>
      </c>
      <c r="N898" t="str">
        <f t="shared" si="26"/>
        <v>Pass</v>
      </c>
      <c r="O898" t="str">
        <f t="shared" si="27"/>
        <v>UnderAge</v>
      </c>
      <c r="P898" t="str" cm="1">
        <f t="array" ref="P898">_xlfn.IFS(K898&gt;90,"Excellent",K898&gt;80,"Very Good",K898&gt;70,"Good",K898&gt;=50,"Poor",K898&lt;50,"Fail")</f>
        <v>Good</v>
      </c>
    </row>
    <row r="899" spans="1:16" x14ac:dyDescent="0.25">
      <c r="A899" t="s">
        <v>908</v>
      </c>
      <c r="B899" t="s">
        <v>1905</v>
      </c>
      <c r="C899" t="s">
        <v>2076</v>
      </c>
      <c r="D899" t="s">
        <v>2751</v>
      </c>
      <c r="E899" t="s">
        <v>2007</v>
      </c>
      <c r="F899">
        <v>16</v>
      </c>
      <c r="G899" t="s">
        <v>2010</v>
      </c>
      <c r="H899" t="s">
        <v>2017</v>
      </c>
      <c r="I899" t="s">
        <v>2019</v>
      </c>
      <c r="J899" t="s">
        <v>2024</v>
      </c>
      <c r="K899">
        <v>78</v>
      </c>
      <c r="L899" t="s">
        <v>2025</v>
      </c>
      <c r="M899" t="s">
        <v>2035</v>
      </c>
      <c r="N899" t="str">
        <f t="shared" ref="N899:N962" si="28">IF(K899&gt;=50,"Pass","Fail")</f>
        <v>Pass</v>
      </c>
      <c r="O899" t="str">
        <f t="shared" ref="O899:O962" si="29">IF(F899&gt;=18,"Adult","UnderAge")</f>
        <v>UnderAge</v>
      </c>
      <c r="P899" t="str" cm="1">
        <f t="array" ref="P899">_xlfn.IFS(K899&gt;90,"Excellent",K899&gt;80,"Very Good",K899&gt;70,"Good",K899&gt;=50,"Poor",K899&lt;50,"Fail")</f>
        <v>Good</v>
      </c>
    </row>
    <row r="900" spans="1:16" x14ac:dyDescent="0.25">
      <c r="A900" t="s">
        <v>909</v>
      </c>
      <c r="B900" t="s">
        <v>1906</v>
      </c>
      <c r="C900" t="s">
        <v>2185</v>
      </c>
      <c r="D900" t="s">
        <v>2477</v>
      </c>
      <c r="E900" t="s">
        <v>2007</v>
      </c>
      <c r="F900">
        <v>17</v>
      </c>
      <c r="G900" t="s">
        <v>2013</v>
      </c>
      <c r="H900" t="s">
        <v>2016</v>
      </c>
      <c r="I900" t="s">
        <v>2019</v>
      </c>
      <c r="J900" t="s">
        <v>2024</v>
      </c>
      <c r="K900">
        <v>24</v>
      </c>
      <c r="L900" t="s">
        <v>2025</v>
      </c>
      <c r="M900" t="s">
        <v>2036</v>
      </c>
      <c r="N900" t="str">
        <f t="shared" si="28"/>
        <v>Fail</v>
      </c>
      <c r="O900" t="str">
        <f t="shared" si="29"/>
        <v>UnderAge</v>
      </c>
      <c r="P900" t="str" cm="1">
        <f t="array" ref="P900">_xlfn.IFS(K900&gt;90,"Excellent",K900&gt;80,"Very Good",K900&gt;70,"Good",K900&gt;=50,"Poor",K900&lt;50,"Fail")</f>
        <v>Fail</v>
      </c>
    </row>
    <row r="901" spans="1:16" x14ac:dyDescent="0.25">
      <c r="A901" t="s">
        <v>910</v>
      </c>
      <c r="B901" t="s">
        <v>1907</v>
      </c>
      <c r="C901" t="s">
        <v>2057</v>
      </c>
      <c r="D901" t="s">
        <v>2632</v>
      </c>
      <c r="E901" t="s">
        <v>2008</v>
      </c>
      <c r="F901">
        <v>16</v>
      </c>
      <c r="G901" t="s">
        <v>2010</v>
      </c>
      <c r="H901" t="s">
        <v>2014</v>
      </c>
      <c r="I901" t="s">
        <v>2018</v>
      </c>
      <c r="J901" t="s">
        <v>2024</v>
      </c>
      <c r="K901">
        <v>7</v>
      </c>
      <c r="L901" t="s">
        <v>2029</v>
      </c>
      <c r="M901" t="s">
        <v>2036</v>
      </c>
      <c r="N901" t="str">
        <f t="shared" si="28"/>
        <v>Fail</v>
      </c>
      <c r="O901" t="str">
        <f t="shared" si="29"/>
        <v>UnderAge</v>
      </c>
      <c r="P901" t="str" cm="1">
        <f t="array" ref="P901">_xlfn.IFS(K901&gt;90,"Excellent",K901&gt;80,"Very Good",K901&gt;70,"Good",K901&gt;=50,"Poor",K901&lt;50,"Fail")</f>
        <v>Fail</v>
      </c>
    </row>
    <row r="902" spans="1:16" x14ac:dyDescent="0.25">
      <c r="A902" t="s">
        <v>911</v>
      </c>
      <c r="B902" t="s">
        <v>1908</v>
      </c>
      <c r="C902" t="s">
        <v>2333</v>
      </c>
      <c r="D902" t="s">
        <v>2470</v>
      </c>
      <c r="E902" t="s">
        <v>2008</v>
      </c>
      <c r="F902">
        <v>16</v>
      </c>
      <c r="G902" t="s">
        <v>2009</v>
      </c>
      <c r="H902" t="s">
        <v>2016</v>
      </c>
      <c r="I902" t="s">
        <v>2020</v>
      </c>
      <c r="J902" t="s">
        <v>2023</v>
      </c>
      <c r="K902">
        <v>12</v>
      </c>
      <c r="L902" t="s">
        <v>2029</v>
      </c>
      <c r="M902" t="s">
        <v>2036</v>
      </c>
      <c r="N902" t="str">
        <f t="shared" si="28"/>
        <v>Fail</v>
      </c>
      <c r="O902" t="str">
        <f t="shared" si="29"/>
        <v>UnderAge</v>
      </c>
      <c r="P902" t="str" cm="1">
        <f t="array" ref="P902">_xlfn.IFS(K902&gt;90,"Excellent",K902&gt;80,"Very Good",K902&gt;70,"Good",K902&gt;=50,"Poor",K902&lt;50,"Fail")</f>
        <v>Fail</v>
      </c>
    </row>
    <row r="903" spans="1:16" x14ac:dyDescent="0.25">
      <c r="A903" t="s">
        <v>912</v>
      </c>
      <c r="B903" t="s">
        <v>1909</v>
      </c>
      <c r="C903" t="s">
        <v>2396</v>
      </c>
      <c r="D903" t="s">
        <v>2824</v>
      </c>
      <c r="E903" t="s">
        <v>2008</v>
      </c>
      <c r="F903">
        <v>16</v>
      </c>
      <c r="G903" t="s">
        <v>2013</v>
      </c>
      <c r="H903" t="s">
        <v>2015</v>
      </c>
      <c r="I903" t="s">
        <v>2021</v>
      </c>
      <c r="J903" t="s">
        <v>2023</v>
      </c>
      <c r="K903">
        <v>75</v>
      </c>
      <c r="L903" t="s">
        <v>2027</v>
      </c>
      <c r="M903" t="s">
        <v>2035</v>
      </c>
      <c r="N903" t="str">
        <f t="shared" si="28"/>
        <v>Pass</v>
      </c>
      <c r="O903" t="str">
        <f t="shared" si="29"/>
        <v>UnderAge</v>
      </c>
      <c r="P903" t="str" cm="1">
        <f t="array" ref="P903">_xlfn.IFS(K903&gt;90,"Excellent",K903&gt;80,"Very Good",K903&gt;70,"Good",K903&gt;=50,"Poor",K903&lt;50,"Fail")</f>
        <v>Good</v>
      </c>
    </row>
    <row r="904" spans="1:16" x14ac:dyDescent="0.25">
      <c r="A904" t="s">
        <v>913</v>
      </c>
      <c r="B904" t="s">
        <v>1910</v>
      </c>
      <c r="C904" t="s">
        <v>2289</v>
      </c>
      <c r="D904" t="s">
        <v>2151</v>
      </c>
      <c r="E904" t="s">
        <v>2007</v>
      </c>
      <c r="F904">
        <v>17</v>
      </c>
      <c r="G904" t="s">
        <v>2011</v>
      </c>
      <c r="H904" t="s">
        <v>2017</v>
      </c>
      <c r="I904" t="s">
        <v>2021</v>
      </c>
      <c r="J904" t="s">
        <v>2024</v>
      </c>
      <c r="K904">
        <v>30</v>
      </c>
      <c r="L904" t="s">
        <v>2026</v>
      </c>
      <c r="M904" t="s">
        <v>2036</v>
      </c>
      <c r="N904" t="str">
        <f t="shared" si="28"/>
        <v>Fail</v>
      </c>
      <c r="O904" t="str">
        <f t="shared" si="29"/>
        <v>UnderAge</v>
      </c>
      <c r="P904" t="str" cm="1">
        <f t="array" ref="P904">_xlfn.IFS(K904&gt;90,"Excellent",K904&gt;80,"Very Good",K904&gt;70,"Good",K904&gt;=50,"Poor",K904&lt;50,"Fail")</f>
        <v>Fail</v>
      </c>
    </row>
    <row r="905" spans="1:16" x14ac:dyDescent="0.25">
      <c r="A905" t="s">
        <v>914</v>
      </c>
      <c r="B905" t="s">
        <v>1911</v>
      </c>
      <c r="C905" t="s">
        <v>2378</v>
      </c>
      <c r="D905" t="s">
        <v>2785</v>
      </c>
      <c r="E905" t="s">
        <v>2008</v>
      </c>
      <c r="F905">
        <v>17</v>
      </c>
      <c r="G905" t="s">
        <v>2010</v>
      </c>
      <c r="H905" t="s">
        <v>2015</v>
      </c>
      <c r="I905" t="s">
        <v>2019</v>
      </c>
      <c r="J905" t="s">
        <v>2023</v>
      </c>
      <c r="K905">
        <v>17</v>
      </c>
      <c r="L905" t="s">
        <v>2027</v>
      </c>
      <c r="M905" t="s">
        <v>2036</v>
      </c>
      <c r="N905" t="str">
        <f t="shared" si="28"/>
        <v>Fail</v>
      </c>
      <c r="O905" t="str">
        <f t="shared" si="29"/>
        <v>UnderAge</v>
      </c>
      <c r="P905" t="str" cm="1">
        <f t="array" ref="P905">_xlfn.IFS(K905&gt;90,"Excellent",K905&gt;80,"Very Good",K905&gt;70,"Good",K905&gt;=50,"Poor",K905&lt;50,"Fail")</f>
        <v>Fail</v>
      </c>
    </row>
    <row r="906" spans="1:16" x14ac:dyDescent="0.25">
      <c r="A906" t="s">
        <v>915</v>
      </c>
      <c r="B906" t="s">
        <v>1912</v>
      </c>
      <c r="C906" t="s">
        <v>2105</v>
      </c>
      <c r="D906" t="s">
        <v>2785</v>
      </c>
      <c r="E906" t="s">
        <v>2008</v>
      </c>
      <c r="F906">
        <v>14</v>
      </c>
      <c r="G906" t="s">
        <v>2009</v>
      </c>
      <c r="H906" t="s">
        <v>2016</v>
      </c>
      <c r="I906" t="s">
        <v>2018</v>
      </c>
      <c r="J906" t="s">
        <v>2024</v>
      </c>
      <c r="K906">
        <v>68</v>
      </c>
      <c r="L906" t="s">
        <v>2030</v>
      </c>
      <c r="M906" t="s">
        <v>2035</v>
      </c>
      <c r="N906" t="str">
        <f t="shared" si="28"/>
        <v>Pass</v>
      </c>
      <c r="O906" t="str">
        <f t="shared" si="29"/>
        <v>UnderAge</v>
      </c>
      <c r="P906" t="str" cm="1">
        <f t="array" ref="P906">_xlfn.IFS(K906&gt;90,"Excellent",K906&gt;80,"Very Good",K906&gt;70,"Good",K906&gt;=50,"Poor",K906&lt;50,"Fail")</f>
        <v>Poor</v>
      </c>
    </row>
    <row r="907" spans="1:16" x14ac:dyDescent="0.25">
      <c r="A907" t="s">
        <v>916</v>
      </c>
      <c r="B907" t="s">
        <v>1913</v>
      </c>
      <c r="C907" t="s">
        <v>2151</v>
      </c>
      <c r="D907" t="s">
        <v>2450</v>
      </c>
      <c r="E907" t="s">
        <v>2008</v>
      </c>
      <c r="F907">
        <v>14</v>
      </c>
      <c r="G907" t="s">
        <v>2010</v>
      </c>
      <c r="H907" t="s">
        <v>2017</v>
      </c>
      <c r="I907" t="s">
        <v>2019</v>
      </c>
      <c r="J907" t="s">
        <v>2024</v>
      </c>
      <c r="K907">
        <v>31</v>
      </c>
      <c r="L907" t="s">
        <v>2031</v>
      </c>
      <c r="M907" t="s">
        <v>2036</v>
      </c>
      <c r="N907" t="str">
        <f t="shared" si="28"/>
        <v>Fail</v>
      </c>
      <c r="O907" t="str">
        <f t="shared" si="29"/>
        <v>UnderAge</v>
      </c>
      <c r="P907" t="str" cm="1">
        <f t="array" ref="P907">_xlfn.IFS(K907&gt;90,"Excellent",K907&gt;80,"Very Good",K907&gt;70,"Good",K907&gt;=50,"Poor",K907&lt;50,"Fail")</f>
        <v>Fail</v>
      </c>
    </row>
    <row r="908" spans="1:16" x14ac:dyDescent="0.25">
      <c r="A908" t="s">
        <v>917</v>
      </c>
      <c r="B908" t="s">
        <v>1914</v>
      </c>
      <c r="C908" t="s">
        <v>2289</v>
      </c>
      <c r="D908" t="s">
        <v>2484</v>
      </c>
      <c r="E908" t="s">
        <v>2007</v>
      </c>
      <c r="F908">
        <v>16</v>
      </c>
      <c r="G908" t="s">
        <v>2011</v>
      </c>
      <c r="H908" t="s">
        <v>2015</v>
      </c>
      <c r="I908" t="s">
        <v>2022</v>
      </c>
      <c r="J908" t="s">
        <v>2024</v>
      </c>
      <c r="K908">
        <v>37</v>
      </c>
      <c r="L908" t="s">
        <v>2027</v>
      </c>
      <c r="M908" t="s">
        <v>2036</v>
      </c>
      <c r="N908" t="str">
        <f t="shared" si="28"/>
        <v>Fail</v>
      </c>
      <c r="O908" t="str">
        <f t="shared" si="29"/>
        <v>UnderAge</v>
      </c>
      <c r="P908" t="str" cm="1">
        <f t="array" ref="P908">_xlfn.IFS(K908&gt;90,"Excellent",K908&gt;80,"Very Good",K908&gt;70,"Good",K908&gt;=50,"Poor",K908&lt;50,"Fail")</f>
        <v>Fail</v>
      </c>
    </row>
    <row r="909" spans="1:16" x14ac:dyDescent="0.25">
      <c r="A909" t="s">
        <v>918</v>
      </c>
      <c r="B909" t="s">
        <v>1915</v>
      </c>
      <c r="C909" t="s">
        <v>2319</v>
      </c>
      <c r="D909" t="s">
        <v>2045</v>
      </c>
      <c r="E909" t="s">
        <v>2008</v>
      </c>
      <c r="F909">
        <v>16</v>
      </c>
      <c r="G909" t="s">
        <v>2011</v>
      </c>
      <c r="H909" t="s">
        <v>2016</v>
      </c>
      <c r="I909" t="s">
        <v>2018</v>
      </c>
      <c r="J909" t="s">
        <v>2024</v>
      </c>
      <c r="K909">
        <v>54</v>
      </c>
      <c r="L909" t="s">
        <v>2029</v>
      </c>
      <c r="M909" t="s">
        <v>2035</v>
      </c>
      <c r="N909" t="str">
        <f t="shared" si="28"/>
        <v>Pass</v>
      </c>
      <c r="O909" t="str">
        <f t="shared" si="29"/>
        <v>UnderAge</v>
      </c>
      <c r="P909" t="str" cm="1">
        <f t="array" ref="P909">_xlfn.IFS(K909&gt;90,"Excellent",K909&gt;80,"Very Good",K909&gt;70,"Good",K909&gt;=50,"Poor",K909&lt;50,"Fail")</f>
        <v>Poor</v>
      </c>
    </row>
    <row r="910" spans="1:16" x14ac:dyDescent="0.25">
      <c r="A910" t="s">
        <v>919</v>
      </c>
      <c r="B910" t="s">
        <v>1916</v>
      </c>
      <c r="C910" t="s">
        <v>2069</v>
      </c>
      <c r="D910" t="s">
        <v>2602</v>
      </c>
      <c r="E910" t="s">
        <v>2008</v>
      </c>
      <c r="F910">
        <v>16</v>
      </c>
      <c r="G910" t="s">
        <v>2010</v>
      </c>
      <c r="H910" t="s">
        <v>2017</v>
      </c>
      <c r="I910" t="s">
        <v>2022</v>
      </c>
      <c r="J910" t="s">
        <v>2023</v>
      </c>
      <c r="K910">
        <v>90</v>
      </c>
      <c r="L910" t="s">
        <v>2027</v>
      </c>
      <c r="M910" t="s">
        <v>2035</v>
      </c>
      <c r="N910" t="str">
        <f t="shared" si="28"/>
        <v>Pass</v>
      </c>
      <c r="O910" t="str">
        <f t="shared" si="29"/>
        <v>UnderAge</v>
      </c>
      <c r="P910" t="str" cm="1">
        <f t="array" ref="P910">_xlfn.IFS(K910&gt;90,"Excellent",K910&gt;80,"Very Good",K910&gt;70,"Good",K910&gt;=50,"Poor",K910&lt;50,"Fail")</f>
        <v>Very Good</v>
      </c>
    </row>
    <row r="911" spans="1:16" x14ac:dyDescent="0.25">
      <c r="A911" t="s">
        <v>920</v>
      </c>
      <c r="B911" t="s">
        <v>1917</v>
      </c>
      <c r="C911" t="s">
        <v>2164</v>
      </c>
      <c r="D911" t="s">
        <v>2721</v>
      </c>
      <c r="E911" t="s">
        <v>2007</v>
      </c>
      <c r="F911">
        <v>14</v>
      </c>
      <c r="G911" t="s">
        <v>2012</v>
      </c>
      <c r="H911" t="s">
        <v>2017</v>
      </c>
      <c r="I911" t="s">
        <v>2022</v>
      </c>
      <c r="J911" t="s">
        <v>2023</v>
      </c>
      <c r="K911">
        <v>44</v>
      </c>
      <c r="L911" t="s">
        <v>2029</v>
      </c>
      <c r="M911" t="s">
        <v>2036</v>
      </c>
      <c r="N911" t="str">
        <f t="shared" si="28"/>
        <v>Fail</v>
      </c>
      <c r="O911" t="str">
        <f t="shared" si="29"/>
        <v>UnderAge</v>
      </c>
      <c r="P911" t="str" cm="1">
        <f t="array" ref="P911">_xlfn.IFS(K911&gt;90,"Excellent",K911&gt;80,"Very Good",K911&gt;70,"Good",K911&gt;=50,"Poor",K911&lt;50,"Fail")</f>
        <v>Fail</v>
      </c>
    </row>
    <row r="912" spans="1:16" x14ac:dyDescent="0.25">
      <c r="A912" t="s">
        <v>921</v>
      </c>
      <c r="B912" t="s">
        <v>1918</v>
      </c>
      <c r="C912" t="s">
        <v>2163</v>
      </c>
      <c r="D912" t="s">
        <v>2770</v>
      </c>
      <c r="E912" t="s">
        <v>2008</v>
      </c>
      <c r="F912">
        <v>18</v>
      </c>
      <c r="G912" t="s">
        <v>2013</v>
      </c>
      <c r="H912" t="s">
        <v>2017</v>
      </c>
      <c r="I912" t="s">
        <v>2020</v>
      </c>
      <c r="J912" t="s">
        <v>2024</v>
      </c>
      <c r="K912">
        <v>36</v>
      </c>
      <c r="L912" t="s">
        <v>2027</v>
      </c>
      <c r="M912" t="s">
        <v>2036</v>
      </c>
      <c r="N912" t="str">
        <f t="shared" si="28"/>
        <v>Fail</v>
      </c>
      <c r="O912" t="str">
        <f t="shared" si="29"/>
        <v>Adult</v>
      </c>
      <c r="P912" t="str" cm="1">
        <f t="array" ref="P912">_xlfn.IFS(K912&gt;90,"Excellent",K912&gt;80,"Very Good",K912&gt;70,"Good",K912&gt;=50,"Poor",K912&lt;50,"Fail")</f>
        <v>Fail</v>
      </c>
    </row>
    <row r="913" spans="1:16" x14ac:dyDescent="0.25">
      <c r="A913" t="s">
        <v>922</v>
      </c>
      <c r="B913" t="s">
        <v>1919</v>
      </c>
      <c r="C913" t="s">
        <v>2397</v>
      </c>
      <c r="D913" t="s">
        <v>2418</v>
      </c>
      <c r="E913" t="s">
        <v>2007</v>
      </c>
      <c r="F913">
        <v>16</v>
      </c>
      <c r="G913" t="s">
        <v>2011</v>
      </c>
      <c r="H913" t="s">
        <v>2017</v>
      </c>
      <c r="I913" t="s">
        <v>2021</v>
      </c>
      <c r="J913" t="s">
        <v>2024</v>
      </c>
      <c r="K913">
        <v>0</v>
      </c>
      <c r="L913" t="s">
        <v>2034</v>
      </c>
      <c r="M913" t="s">
        <v>2036</v>
      </c>
      <c r="N913" t="str">
        <f t="shared" si="28"/>
        <v>Fail</v>
      </c>
      <c r="O913" t="str">
        <f t="shared" si="29"/>
        <v>UnderAge</v>
      </c>
      <c r="P913" t="str" cm="1">
        <f t="array" ref="P913">_xlfn.IFS(K913&gt;90,"Excellent",K913&gt;80,"Very Good",K913&gt;70,"Good",K913&gt;=50,"Poor",K913&lt;50,"Fail")</f>
        <v>Fail</v>
      </c>
    </row>
    <row r="914" spans="1:16" x14ac:dyDescent="0.25">
      <c r="A914" t="s">
        <v>923</v>
      </c>
      <c r="B914" t="s">
        <v>1920</v>
      </c>
      <c r="C914" t="s">
        <v>2189</v>
      </c>
      <c r="D914" t="s">
        <v>2111</v>
      </c>
      <c r="E914" t="s">
        <v>2008</v>
      </c>
      <c r="F914">
        <v>15</v>
      </c>
      <c r="G914" t="s">
        <v>2010</v>
      </c>
      <c r="H914" t="s">
        <v>2016</v>
      </c>
      <c r="I914" t="s">
        <v>2022</v>
      </c>
      <c r="J914" t="s">
        <v>2024</v>
      </c>
      <c r="K914">
        <v>50</v>
      </c>
      <c r="L914" t="s">
        <v>2032</v>
      </c>
      <c r="M914" t="s">
        <v>2035</v>
      </c>
      <c r="N914" t="str">
        <f t="shared" si="28"/>
        <v>Pass</v>
      </c>
      <c r="O914" t="str">
        <f t="shared" si="29"/>
        <v>UnderAge</v>
      </c>
      <c r="P914" t="str" cm="1">
        <f t="array" ref="P914">_xlfn.IFS(K914&gt;90,"Excellent",K914&gt;80,"Very Good",K914&gt;70,"Good",K914&gt;=50,"Poor",K914&lt;50,"Fail")</f>
        <v>Poor</v>
      </c>
    </row>
    <row r="915" spans="1:16" x14ac:dyDescent="0.25">
      <c r="A915" t="s">
        <v>924</v>
      </c>
      <c r="B915" t="s">
        <v>1921</v>
      </c>
      <c r="C915" t="s">
        <v>2112</v>
      </c>
      <c r="D915" t="s">
        <v>2785</v>
      </c>
      <c r="E915" t="s">
        <v>2008</v>
      </c>
      <c r="F915">
        <v>14</v>
      </c>
      <c r="G915" t="s">
        <v>2010</v>
      </c>
      <c r="H915" t="s">
        <v>2016</v>
      </c>
      <c r="I915" t="s">
        <v>2019</v>
      </c>
      <c r="J915" t="s">
        <v>2024</v>
      </c>
      <c r="K915">
        <v>85</v>
      </c>
      <c r="L915" t="s">
        <v>2027</v>
      </c>
      <c r="M915" t="s">
        <v>2035</v>
      </c>
      <c r="N915" t="str">
        <f t="shared" si="28"/>
        <v>Pass</v>
      </c>
      <c r="O915" t="str">
        <f t="shared" si="29"/>
        <v>UnderAge</v>
      </c>
      <c r="P915" t="str" cm="1">
        <f t="array" ref="P915">_xlfn.IFS(K915&gt;90,"Excellent",K915&gt;80,"Very Good",K915&gt;70,"Good",K915&gt;=50,"Poor",K915&lt;50,"Fail")</f>
        <v>Very Good</v>
      </c>
    </row>
    <row r="916" spans="1:16" x14ac:dyDescent="0.25">
      <c r="A916" t="s">
        <v>925</v>
      </c>
      <c r="B916" t="s">
        <v>1922</v>
      </c>
      <c r="C916" t="s">
        <v>2396</v>
      </c>
      <c r="D916" t="s">
        <v>2825</v>
      </c>
      <c r="E916" t="s">
        <v>2008</v>
      </c>
      <c r="F916">
        <v>15</v>
      </c>
      <c r="G916" t="s">
        <v>2011</v>
      </c>
      <c r="H916" t="s">
        <v>2015</v>
      </c>
      <c r="I916" t="s">
        <v>2022</v>
      </c>
      <c r="J916" t="s">
        <v>2023</v>
      </c>
      <c r="K916">
        <v>3</v>
      </c>
      <c r="L916" t="s">
        <v>2027</v>
      </c>
      <c r="M916" t="s">
        <v>2036</v>
      </c>
      <c r="N916" t="str">
        <f t="shared" si="28"/>
        <v>Fail</v>
      </c>
      <c r="O916" t="str">
        <f t="shared" si="29"/>
        <v>UnderAge</v>
      </c>
      <c r="P916" t="str" cm="1">
        <f t="array" ref="P916">_xlfn.IFS(K916&gt;90,"Excellent",K916&gt;80,"Very Good",K916&gt;70,"Good",K916&gt;=50,"Poor",K916&lt;50,"Fail")</f>
        <v>Fail</v>
      </c>
    </row>
    <row r="917" spans="1:16" x14ac:dyDescent="0.25">
      <c r="A917" t="s">
        <v>926</v>
      </c>
      <c r="B917" t="s">
        <v>1923</v>
      </c>
      <c r="C917" t="s">
        <v>2107</v>
      </c>
      <c r="D917" t="s">
        <v>2437</v>
      </c>
      <c r="E917" t="s">
        <v>2008</v>
      </c>
      <c r="F917">
        <v>14</v>
      </c>
      <c r="G917" t="s">
        <v>2013</v>
      </c>
      <c r="H917" t="s">
        <v>2014</v>
      </c>
      <c r="I917" t="s">
        <v>2022</v>
      </c>
      <c r="J917" t="s">
        <v>2023</v>
      </c>
      <c r="K917">
        <v>34</v>
      </c>
      <c r="L917" t="s">
        <v>2026</v>
      </c>
      <c r="M917" t="s">
        <v>2036</v>
      </c>
      <c r="N917" t="str">
        <f t="shared" si="28"/>
        <v>Fail</v>
      </c>
      <c r="O917" t="str">
        <f t="shared" si="29"/>
        <v>UnderAge</v>
      </c>
      <c r="P917" t="str" cm="1">
        <f t="array" ref="P917">_xlfn.IFS(K917&gt;90,"Excellent",K917&gt;80,"Very Good",K917&gt;70,"Good",K917&gt;=50,"Poor",K917&lt;50,"Fail")</f>
        <v>Fail</v>
      </c>
    </row>
    <row r="918" spans="1:16" x14ac:dyDescent="0.25">
      <c r="A918" t="s">
        <v>927</v>
      </c>
      <c r="B918" t="s">
        <v>1924</v>
      </c>
      <c r="C918" t="s">
        <v>2398</v>
      </c>
      <c r="D918" t="s">
        <v>2482</v>
      </c>
      <c r="E918" t="s">
        <v>2007</v>
      </c>
      <c r="F918">
        <v>14</v>
      </c>
      <c r="G918" t="s">
        <v>2010</v>
      </c>
      <c r="H918" t="s">
        <v>2014</v>
      </c>
      <c r="I918" t="s">
        <v>2021</v>
      </c>
      <c r="J918" t="s">
        <v>2023</v>
      </c>
      <c r="K918">
        <v>13</v>
      </c>
      <c r="L918" t="s">
        <v>2027</v>
      </c>
      <c r="M918" t="s">
        <v>2036</v>
      </c>
      <c r="N918" t="str">
        <f t="shared" si="28"/>
        <v>Fail</v>
      </c>
      <c r="O918" t="str">
        <f t="shared" si="29"/>
        <v>UnderAge</v>
      </c>
      <c r="P918" t="str" cm="1">
        <f t="array" ref="P918">_xlfn.IFS(K918&gt;90,"Excellent",K918&gt;80,"Very Good",K918&gt;70,"Good",K918&gt;=50,"Poor",K918&lt;50,"Fail")</f>
        <v>Fail</v>
      </c>
    </row>
    <row r="919" spans="1:16" x14ac:dyDescent="0.25">
      <c r="A919" t="s">
        <v>928</v>
      </c>
      <c r="B919" t="s">
        <v>1925</v>
      </c>
      <c r="C919" t="s">
        <v>2141</v>
      </c>
      <c r="D919" t="s">
        <v>2448</v>
      </c>
      <c r="E919" t="s">
        <v>2007</v>
      </c>
      <c r="F919">
        <v>17</v>
      </c>
      <c r="G919" t="s">
        <v>2009</v>
      </c>
      <c r="H919" t="s">
        <v>2016</v>
      </c>
      <c r="I919" t="s">
        <v>2019</v>
      </c>
      <c r="J919" t="s">
        <v>2023</v>
      </c>
      <c r="K919">
        <v>42</v>
      </c>
      <c r="L919" t="s">
        <v>2028</v>
      </c>
      <c r="M919" t="s">
        <v>2036</v>
      </c>
      <c r="N919" t="str">
        <f t="shared" si="28"/>
        <v>Fail</v>
      </c>
      <c r="O919" t="str">
        <f t="shared" si="29"/>
        <v>UnderAge</v>
      </c>
      <c r="P919" t="str" cm="1">
        <f t="array" ref="P919">_xlfn.IFS(K919&gt;90,"Excellent",K919&gt;80,"Very Good",K919&gt;70,"Good",K919&gt;=50,"Poor",K919&lt;50,"Fail")</f>
        <v>Fail</v>
      </c>
    </row>
    <row r="920" spans="1:16" x14ac:dyDescent="0.25">
      <c r="A920" t="s">
        <v>929</v>
      </c>
      <c r="B920" t="s">
        <v>1926</v>
      </c>
      <c r="C920" t="s">
        <v>2103</v>
      </c>
      <c r="D920" t="s">
        <v>2666</v>
      </c>
      <c r="E920" t="s">
        <v>2007</v>
      </c>
      <c r="F920">
        <v>15</v>
      </c>
      <c r="G920" t="s">
        <v>2013</v>
      </c>
      <c r="H920" t="s">
        <v>2017</v>
      </c>
      <c r="I920" t="s">
        <v>2019</v>
      </c>
      <c r="J920" t="s">
        <v>2023</v>
      </c>
      <c r="K920">
        <v>71</v>
      </c>
      <c r="L920" t="s">
        <v>2032</v>
      </c>
      <c r="M920" t="s">
        <v>2035</v>
      </c>
      <c r="N920" t="str">
        <f t="shared" si="28"/>
        <v>Pass</v>
      </c>
      <c r="O920" t="str">
        <f t="shared" si="29"/>
        <v>UnderAge</v>
      </c>
      <c r="P920" t="str" cm="1">
        <f t="array" ref="P920">_xlfn.IFS(K920&gt;90,"Excellent",K920&gt;80,"Very Good",K920&gt;70,"Good",K920&gt;=50,"Poor",K920&lt;50,"Fail")</f>
        <v>Good</v>
      </c>
    </row>
    <row r="921" spans="1:16" x14ac:dyDescent="0.25">
      <c r="A921" t="s">
        <v>930</v>
      </c>
      <c r="B921" t="s">
        <v>1927</v>
      </c>
      <c r="C921" t="s">
        <v>2399</v>
      </c>
      <c r="D921" t="s">
        <v>2440</v>
      </c>
      <c r="E921" t="s">
        <v>2008</v>
      </c>
      <c r="F921">
        <v>18</v>
      </c>
      <c r="G921" t="s">
        <v>2013</v>
      </c>
      <c r="H921" t="s">
        <v>2015</v>
      </c>
      <c r="I921" t="s">
        <v>2018</v>
      </c>
      <c r="J921" t="s">
        <v>2023</v>
      </c>
      <c r="K921">
        <v>61</v>
      </c>
      <c r="L921" t="s">
        <v>2025</v>
      </c>
      <c r="M921" t="s">
        <v>2035</v>
      </c>
      <c r="N921" t="str">
        <f t="shared" si="28"/>
        <v>Pass</v>
      </c>
      <c r="O921" t="str">
        <f t="shared" si="29"/>
        <v>Adult</v>
      </c>
      <c r="P921" t="str" cm="1">
        <f t="array" ref="P921">_xlfn.IFS(K921&gt;90,"Excellent",K921&gt;80,"Very Good",K921&gt;70,"Good",K921&gt;=50,"Poor",K921&lt;50,"Fail")</f>
        <v>Poor</v>
      </c>
    </row>
    <row r="922" spans="1:16" x14ac:dyDescent="0.25">
      <c r="A922" t="s">
        <v>931</v>
      </c>
      <c r="B922" t="s">
        <v>1928</v>
      </c>
      <c r="C922" t="s">
        <v>2313</v>
      </c>
      <c r="D922" t="s">
        <v>2826</v>
      </c>
      <c r="E922" t="s">
        <v>2008</v>
      </c>
      <c r="F922">
        <v>14</v>
      </c>
      <c r="G922" t="s">
        <v>2011</v>
      </c>
      <c r="H922" t="s">
        <v>2016</v>
      </c>
      <c r="I922" t="s">
        <v>2021</v>
      </c>
      <c r="J922" t="s">
        <v>2023</v>
      </c>
      <c r="K922">
        <v>69</v>
      </c>
      <c r="L922" t="s">
        <v>2029</v>
      </c>
      <c r="M922" t="s">
        <v>2035</v>
      </c>
      <c r="N922" t="str">
        <f t="shared" si="28"/>
        <v>Pass</v>
      </c>
      <c r="O922" t="str">
        <f t="shared" si="29"/>
        <v>UnderAge</v>
      </c>
      <c r="P922" t="str" cm="1">
        <f t="array" ref="P922">_xlfn.IFS(K922&gt;90,"Excellent",K922&gt;80,"Very Good",K922&gt;70,"Good",K922&gt;=50,"Poor",K922&lt;50,"Fail")</f>
        <v>Poor</v>
      </c>
    </row>
    <row r="923" spans="1:16" x14ac:dyDescent="0.25">
      <c r="A923" t="s">
        <v>932</v>
      </c>
      <c r="B923" t="s">
        <v>1929</v>
      </c>
      <c r="C923" t="s">
        <v>2216</v>
      </c>
      <c r="D923" t="s">
        <v>2827</v>
      </c>
      <c r="E923" t="s">
        <v>2008</v>
      </c>
      <c r="F923">
        <v>16</v>
      </c>
      <c r="G923" t="s">
        <v>2009</v>
      </c>
      <c r="H923" t="s">
        <v>2014</v>
      </c>
      <c r="I923" t="s">
        <v>2018</v>
      </c>
      <c r="J923" t="s">
        <v>2024</v>
      </c>
      <c r="K923">
        <v>48</v>
      </c>
      <c r="L923" t="s">
        <v>2025</v>
      </c>
      <c r="M923" t="s">
        <v>2036</v>
      </c>
      <c r="N923" t="str">
        <f t="shared" si="28"/>
        <v>Fail</v>
      </c>
      <c r="O923" t="str">
        <f t="shared" si="29"/>
        <v>UnderAge</v>
      </c>
      <c r="P923" t="str" cm="1">
        <f t="array" ref="P923">_xlfn.IFS(K923&gt;90,"Excellent",K923&gt;80,"Very Good",K923&gt;70,"Good",K923&gt;=50,"Poor",K923&lt;50,"Fail")</f>
        <v>Fail</v>
      </c>
    </row>
    <row r="924" spans="1:16" x14ac:dyDescent="0.25">
      <c r="A924" t="s">
        <v>933</v>
      </c>
      <c r="B924" t="s">
        <v>1930</v>
      </c>
      <c r="C924" t="s">
        <v>2234</v>
      </c>
      <c r="D924" t="s">
        <v>2767</v>
      </c>
      <c r="E924" t="s">
        <v>2007</v>
      </c>
      <c r="F924">
        <v>14</v>
      </c>
      <c r="G924" t="s">
        <v>2011</v>
      </c>
      <c r="H924" t="s">
        <v>2014</v>
      </c>
      <c r="I924" t="s">
        <v>2021</v>
      </c>
      <c r="J924" t="s">
        <v>2024</v>
      </c>
      <c r="K924">
        <v>80</v>
      </c>
      <c r="L924" t="s">
        <v>2029</v>
      </c>
      <c r="M924" t="s">
        <v>2035</v>
      </c>
      <c r="N924" t="str">
        <f t="shared" si="28"/>
        <v>Pass</v>
      </c>
      <c r="O924" t="str">
        <f t="shared" si="29"/>
        <v>UnderAge</v>
      </c>
      <c r="P924" t="str" cm="1">
        <f t="array" ref="P924">_xlfn.IFS(K924&gt;90,"Excellent",K924&gt;80,"Very Good",K924&gt;70,"Good",K924&gt;=50,"Poor",K924&lt;50,"Fail")</f>
        <v>Good</v>
      </c>
    </row>
    <row r="925" spans="1:16" x14ac:dyDescent="0.25">
      <c r="A925" t="s">
        <v>934</v>
      </c>
      <c r="B925" t="s">
        <v>1931</v>
      </c>
      <c r="C925" t="s">
        <v>2153</v>
      </c>
      <c r="D925" t="s">
        <v>2426</v>
      </c>
      <c r="E925" t="s">
        <v>2007</v>
      </c>
      <c r="F925">
        <v>16</v>
      </c>
      <c r="G925" t="s">
        <v>2009</v>
      </c>
      <c r="H925" t="s">
        <v>2015</v>
      </c>
      <c r="I925" t="s">
        <v>2020</v>
      </c>
      <c r="J925" t="s">
        <v>2024</v>
      </c>
      <c r="K925">
        <v>8</v>
      </c>
      <c r="L925" t="s">
        <v>2032</v>
      </c>
      <c r="M925" t="s">
        <v>2036</v>
      </c>
      <c r="N925" t="str">
        <f t="shared" si="28"/>
        <v>Fail</v>
      </c>
      <c r="O925" t="str">
        <f t="shared" si="29"/>
        <v>UnderAge</v>
      </c>
      <c r="P925" t="str" cm="1">
        <f t="array" ref="P925">_xlfn.IFS(K925&gt;90,"Excellent",K925&gt;80,"Very Good",K925&gt;70,"Good",K925&gt;=50,"Poor",K925&lt;50,"Fail")</f>
        <v>Fail</v>
      </c>
    </row>
    <row r="926" spans="1:16" x14ac:dyDescent="0.25">
      <c r="A926" t="s">
        <v>935</v>
      </c>
      <c r="B926" t="s">
        <v>1932</v>
      </c>
      <c r="C926" t="s">
        <v>2400</v>
      </c>
      <c r="D926" t="s">
        <v>2048</v>
      </c>
      <c r="E926" t="s">
        <v>2008</v>
      </c>
      <c r="F926">
        <v>16</v>
      </c>
      <c r="G926" t="s">
        <v>2012</v>
      </c>
      <c r="H926" t="s">
        <v>2017</v>
      </c>
      <c r="I926" t="s">
        <v>2021</v>
      </c>
      <c r="J926" t="s">
        <v>2023</v>
      </c>
      <c r="K926">
        <v>39</v>
      </c>
      <c r="L926" t="s">
        <v>2030</v>
      </c>
      <c r="M926" t="s">
        <v>2036</v>
      </c>
      <c r="N926" t="str">
        <f t="shared" si="28"/>
        <v>Fail</v>
      </c>
      <c r="O926" t="str">
        <f t="shared" si="29"/>
        <v>UnderAge</v>
      </c>
      <c r="P926" t="str" cm="1">
        <f t="array" ref="P926">_xlfn.IFS(K926&gt;90,"Excellent",K926&gt;80,"Very Good",K926&gt;70,"Good",K926&gt;=50,"Poor",K926&lt;50,"Fail")</f>
        <v>Fail</v>
      </c>
    </row>
    <row r="927" spans="1:16" x14ac:dyDescent="0.25">
      <c r="A927" t="s">
        <v>936</v>
      </c>
      <c r="B927" t="s">
        <v>1933</v>
      </c>
      <c r="C927" t="s">
        <v>2192</v>
      </c>
      <c r="D927" t="s">
        <v>2828</v>
      </c>
      <c r="E927" t="s">
        <v>2008</v>
      </c>
      <c r="F927">
        <v>18</v>
      </c>
      <c r="G927" t="s">
        <v>2010</v>
      </c>
      <c r="H927" t="s">
        <v>2016</v>
      </c>
      <c r="I927" t="s">
        <v>2019</v>
      </c>
      <c r="J927" t="s">
        <v>2024</v>
      </c>
      <c r="K927">
        <v>60</v>
      </c>
      <c r="L927" t="s">
        <v>2026</v>
      </c>
      <c r="M927" t="s">
        <v>2035</v>
      </c>
      <c r="N927" t="str">
        <f t="shared" si="28"/>
        <v>Pass</v>
      </c>
      <c r="O927" t="str">
        <f t="shared" si="29"/>
        <v>Adult</v>
      </c>
      <c r="P927" t="str" cm="1">
        <f t="array" ref="P927">_xlfn.IFS(K927&gt;90,"Excellent",K927&gt;80,"Very Good",K927&gt;70,"Good",K927&gt;=50,"Poor",K927&lt;50,"Fail")</f>
        <v>Poor</v>
      </c>
    </row>
    <row r="928" spans="1:16" x14ac:dyDescent="0.25">
      <c r="A928" t="s">
        <v>937</v>
      </c>
      <c r="B928" t="s">
        <v>1934</v>
      </c>
      <c r="C928" t="s">
        <v>2288</v>
      </c>
      <c r="D928" t="s">
        <v>2727</v>
      </c>
      <c r="E928" t="s">
        <v>2008</v>
      </c>
      <c r="F928">
        <v>17</v>
      </c>
      <c r="G928" t="s">
        <v>2012</v>
      </c>
      <c r="H928" t="s">
        <v>2014</v>
      </c>
      <c r="I928" t="s">
        <v>2018</v>
      </c>
      <c r="J928" t="s">
        <v>2024</v>
      </c>
      <c r="K928">
        <v>21</v>
      </c>
      <c r="L928" t="s">
        <v>2033</v>
      </c>
      <c r="M928" t="s">
        <v>2036</v>
      </c>
      <c r="N928" t="str">
        <f t="shared" si="28"/>
        <v>Fail</v>
      </c>
      <c r="O928" t="str">
        <f t="shared" si="29"/>
        <v>UnderAge</v>
      </c>
      <c r="P928" t="str" cm="1">
        <f t="array" ref="P928">_xlfn.IFS(K928&gt;90,"Excellent",K928&gt;80,"Very Good",K928&gt;70,"Good",K928&gt;=50,"Poor",K928&lt;50,"Fail")</f>
        <v>Fail</v>
      </c>
    </row>
    <row r="929" spans="1:16" x14ac:dyDescent="0.25">
      <c r="A929" t="s">
        <v>938</v>
      </c>
      <c r="B929" t="s">
        <v>1935</v>
      </c>
      <c r="C929" t="s">
        <v>2298</v>
      </c>
      <c r="D929" t="s">
        <v>2829</v>
      </c>
      <c r="E929" t="s">
        <v>2008</v>
      </c>
      <c r="F929">
        <v>18</v>
      </c>
      <c r="G929" t="s">
        <v>2013</v>
      </c>
      <c r="H929" t="s">
        <v>2015</v>
      </c>
      <c r="I929" t="s">
        <v>2021</v>
      </c>
      <c r="J929" t="s">
        <v>2024</v>
      </c>
      <c r="K929">
        <v>96</v>
      </c>
      <c r="L929" t="s">
        <v>2027</v>
      </c>
      <c r="M929" t="s">
        <v>2035</v>
      </c>
      <c r="N929" t="str">
        <f t="shared" si="28"/>
        <v>Pass</v>
      </c>
      <c r="O929" t="str">
        <f t="shared" si="29"/>
        <v>Adult</v>
      </c>
      <c r="P929" t="str" cm="1">
        <f t="array" ref="P929">_xlfn.IFS(K929&gt;90,"Excellent",K929&gt;80,"Very Good",K929&gt;70,"Good",K929&gt;=50,"Poor",K929&lt;50,"Fail")</f>
        <v>Excellent</v>
      </c>
    </row>
    <row r="930" spans="1:16" x14ac:dyDescent="0.25">
      <c r="A930" t="s">
        <v>939</v>
      </c>
      <c r="B930" t="s">
        <v>1936</v>
      </c>
      <c r="C930" t="s">
        <v>2331</v>
      </c>
      <c r="D930" t="s">
        <v>2830</v>
      </c>
      <c r="E930" t="s">
        <v>2008</v>
      </c>
      <c r="F930">
        <v>14</v>
      </c>
      <c r="G930" t="s">
        <v>2010</v>
      </c>
      <c r="H930" t="s">
        <v>2017</v>
      </c>
      <c r="I930" t="s">
        <v>2018</v>
      </c>
      <c r="J930" t="s">
        <v>2024</v>
      </c>
      <c r="K930">
        <v>53</v>
      </c>
      <c r="L930" t="s">
        <v>2033</v>
      </c>
      <c r="M930" t="s">
        <v>2035</v>
      </c>
      <c r="N930" t="str">
        <f t="shared" si="28"/>
        <v>Pass</v>
      </c>
      <c r="O930" t="str">
        <f t="shared" si="29"/>
        <v>UnderAge</v>
      </c>
      <c r="P930" t="str" cm="1">
        <f t="array" ref="P930">_xlfn.IFS(K930&gt;90,"Excellent",K930&gt;80,"Very Good",K930&gt;70,"Good",K930&gt;=50,"Poor",K930&lt;50,"Fail")</f>
        <v>Poor</v>
      </c>
    </row>
    <row r="931" spans="1:16" x14ac:dyDescent="0.25">
      <c r="A931" t="s">
        <v>940</v>
      </c>
      <c r="B931" t="s">
        <v>1937</v>
      </c>
      <c r="C931" t="s">
        <v>2150</v>
      </c>
      <c r="D931" t="s">
        <v>2605</v>
      </c>
      <c r="E931" t="s">
        <v>2008</v>
      </c>
      <c r="F931">
        <v>14</v>
      </c>
      <c r="G931" t="s">
        <v>2009</v>
      </c>
      <c r="H931" t="s">
        <v>2016</v>
      </c>
      <c r="I931" t="s">
        <v>2018</v>
      </c>
      <c r="J931" t="s">
        <v>2023</v>
      </c>
      <c r="K931">
        <v>38</v>
      </c>
      <c r="L931" t="s">
        <v>2025</v>
      </c>
      <c r="M931" t="s">
        <v>2036</v>
      </c>
      <c r="N931" t="str">
        <f t="shared" si="28"/>
        <v>Fail</v>
      </c>
      <c r="O931" t="str">
        <f t="shared" si="29"/>
        <v>UnderAge</v>
      </c>
      <c r="P931" t="str" cm="1">
        <f t="array" ref="P931">_xlfn.IFS(K931&gt;90,"Excellent",K931&gt;80,"Very Good",K931&gt;70,"Good",K931&gt;=50,"Poor",K931&lt;50,"Fail")</f>
        <v>Fail</v>
      </c>
    </row>
    <row r="932" spans="1:16" x14ac:dyDescent="0.25">
      <c r="A932" t="s">
        <v>941</v>
      </c>
      <c r="B932" t="s">
        <v>1938</v>
      </c>
      <c r="C932" t="s">
        <v>2144</v>
      </c>
      <c r="D932" t="s">
        <v>2111</v>
      </c>
      <c r="E932" t="s">
        <v>2007</v>
      </c>
      <c r="F932">
        <v>14</v>
      </c>
      <c r="G932" t="s">
        <v>2011</v>
      </c>
      <c r="H932" t="s">
        <v>2016</v>
      </c>
      <c r="I932" t="s">
        <v>2018</v>
      </c>
      <c r="J932" t="s">
        <v>2024</v>
      </c>
      <c r="K932">
        <v>73</v>
      </c>
      <c r="L932" t="s">
        <v>2030</v>
      </c>
      <c r="M932" t="s">
        <v>2035</v>
      </c>
      <c r="N932" t="str">
        <f t="shared" si="28"/>
        <v>Pass</v>
      </c>
      <c r="O932" t="str">
        <f t="shared" si="29"/>
        <v>UnderAge</v>
      </c>
      <c r="P932" t="str" cm="1">
        <f t="array" ref="P932">_xlfn.IFS(K932&gt;90,"Excellent",K932&gt;80,"Very Good",K932&gt;70,"Good",K932&gt;=50,"Poor",K932&lt;50,"Fail")</f>
        <v>Good</v>
      </c>
    </row>
    <row r="933" spans="1:16" x14ac:dyDescent="0.25">
      <c r="A933" t="s">
        <v>942</v>
      </c>
      <c r="B933" t="s">
        <v>1939</v>
      </c>
      <c r="C933" t="s">
        <v>2103</v>
      </c>
      <c r="D933" t="s">
        <v>2633</v>
      </c>
      <c r="E933" t="s">
        <v>2008</v>
      </c>
      <c r="F933">
        <v>18</v>
      </c>
      <c r="G933" t="s">
        <v>2010</v>
      </c>
      <c r="H933" t="s">
        <v>2016</v>
      </c>
      <c r="I933" t="s">
        <v>2018</v>
      </c>
      <c r="J933" t="s">
        <v>2024</v>
      </c>
      <c r="K933">
        <v>62</v>
      </c>
      <c r="L933" t="s">
        <v>2033</v>
      </c>
      <c r="M933" t="s">
        <v>2035</v>
      </c>
      <c r="N933" t="str">
        <f t="shared" si="28"/>
        <v>Pass</v>
      </c>
      <c r="O933" t="str">
        <f t="shared" si="29"/>
        <v>Adult</v>
      </c>
      <c r="P933" t="str" cm="1">
        <f t="array" ref="P933">_xlfn.IFS(K933&gt;90,"Excellent",K933&gt;80,"Very Good",K933&gt;70,"Good",K933&gt;=50,"Poor",K933&lt;50,"Fail")</f>
        <v>Poor</v>
      </c>
    </row>
    <row r="934" spans="1:16" x14ac:dyDescent="0.25">
      <c r="A934" t="s">
        <v>943</v>
      </c>
      <c r="B934" t="s">
        <v>1940</v>
      </c>
      <c r="C934" t="s">
        <v>2092</v>
      </c>
      <c r="D934" t="s">
        <v>2773</v>
      </c>
      <c r="E934" t="s">
        <v>2007</v>
      </c>
      <c r="F934">
        <v>16</v>
      </c>
      <c r="G934" t="s">
        <v>2011</v>
      </c>
      <c r="H934" t="s">
        <v>2016</v>
      </c>
      <c r="I934" t="s">
        <v>2021</v>
      </c>
      <c r="J934" t="s">
        <v>2023</v>
      </c>
      <c r="K934">
        <v>97</v>
      </c>
      <c r="L934" t="s">
        <v>2032</v>
      </c>
      <c r="M934" t="s">
        <v>2035</v>
      </c>
      <c r="N934" t="str">
        <f t="shared" si="28"/>
        <v>Pass</v>
      </c>
      <c r="O934" t="str">
        <f t="shared" si="29"/>
        <v>UnderAge</v>
      </c>
      <c r="P934" t="str" cm="1">
        <f t="array" ref="P934">_xlfn.IFS(K934&gt;90,"Excellent",K934&gt;80,"Very Good",K934&gt;70,"Good",K934&gt;=50,"Poor",K934&lt;50,"Fail")</f>
        <v>Excellent</v>
      </c>
    </row>
    <row r="935" spans="1:16" x14ac:dyDescent="0.25">
      <c r="A935" t="s">
        <v>944</v>
      </c>
      <c r="B935" t="s">
        <v>1941</v>
      </c>
      <c r="C935" t="s">
        <v>2175</v>
      </c>
      <c r="D935" t="s">
        <v>2571</v>
      </c>
      <c r="E935" t="s">
        <v>2008</v>
      </c>
      <c r="F935">
        <v>18</v>
      </c>
      <c r="G935" t="s">
        <v>2013</v>
      </c>
      <c r="H935" t="s">
        <v>2016</v>
      </c>
      <c r="I935" t="s">
        <v>2018</v>
      </c>
      <c r="J935" t="s">
        <v>2024</v>
      </c>
      <c r="K935">
        <v>85</v>
      </c>
      <c r="L935" t="s">
        <v>2029</v>
      </c>
      <c r="M935" t="s">
        <v>2035</v>
      </c>
      <c r="N935" t="str">
        <f t="shared" si="28"/>
        <v>Pass</v>
      </c>
      <c r="O935" t="str">
        <f t="shared" si="29"/>
        <v>Adult</v>
      </c>
      <c r="P935" t="str" cm="1">
        <f t="array" ref="P935">_xlfn.IFS(K935&gt;90,"Excellent",K935&gt;80,"Very Good",K935&gt;70,"Good",K935&gt;=50,"Poor",K935&lt;50,"Fail")</f>
        <v>Very Good</v>
      </c>
    </row>
    <row r="936" spans="1:16" x14ac:dyDescent="0.25">
      <c r="A936" t="s">
        <v>945</v>
      </c>
      <c r="B936" t="s">
        <v>1942</v>
      </c>
      <c r="C936" t="s">
        <v>2267</v>
      </c>
      <c r="D936" t="s">
        <v>2586</v>
      </c>
      <c r="E936" t="s">
        <v>2007</v>
      </c>
      <c r="F936">
        <v>14</v>
      </c>
      <c r="G936" t="s">
        <v>2010</v>
      </c>
      <c r="H936" t="s">
        <v>2014</v>
      </c>
      <c r="I936" t="s">
        <v>2019</v>
      </c>
      <c r="J936" t="s">
        <v>2024</v>
      </c>
      <c r="K936">
        <v>58</v>
      </c>
      <c r="L936" t="s">
        <v>2028</v>
      </c>
      <c r="M936" t="s">
        <v>2035</v>
      </c>
      <c r="N936" t="str">
        <f t="shared" si="28"/>
        <v>Pass</v>
      </c>
      <c r="O936" t="str">
        <f t="shared" si="29"/>
        <v>UnderAge</v>
      </c>
      <c r="P936" t="str" cm="1">
        <f t="array" ref="P936">_xlfn.IFS(K936&gt;90,"Excellent",K936&gt;80,"Very Good",K936&gt;70,"Good",K936&gt;=50,"Poor",K936&lt;50,"Fail")</f>
        <v>Poor</v>
      </c>
    </row>
    <row r="937" spans="1:16" x14ac:dyDescent="0.25">
      <c r="A937" t="s">
        <v>946</v>
      </c>
      <c r="B937" t="s">
        <v>1943</v>
      </c>
      <c r="C937" t="s">
        <v>2076</v>
      </c>
      <c r="D937" t="s">
        <v>2780</v>
      </c>
      <c r="E937" t="s">
        <v>2007</v>
      </c>
      <c r="F937">
        <v>18</v>
      </c>
      <c r="G937" t="s">
        <v>2010</v>
      </c>
      <c r="H937" t="s">
        <v>2014</v>
      </c>
      <c r="I937" t="s">
        <v>2020</v>
      </c>
      <c r="J937" t="s">
        <v>2024</v>
      </c>
      <c r="K937">
        <v>1</v>
      </c>
      <c r="L937" t="s">
        <v>2026</v>
      </c>
      <c r="M937" t="s">
        <v>2036</v>
      </c>
      <c r="N937" t="str">
        <f t="shared" si="28"/>
        <v>Fail</v>
      </c>
      <c r="O937" t="str">
        <f t="shared" si="29"/>
        <v>Adult</v>
      </c>
      <c r="P937" t="str" cm="1">
        <f t="array" ref="P937">_xlfn.IFS(K937&gt;90,"Excellent",K937&gt;80,"Very Good",K937&gt;70,"Good",K937&gt;=50,"Poor",K937&lt;50,"Fail")</f>
        <v>Fail</v>
      </c>
    </row>
    <row r="938" spans="1:16" x14ac:dyDescent="0.25">
      <c r="A938" t="s">
        <v>947</v>
      </c>
      <c r="B938" t="s">
        <v>1944</v>
      </c>
      <c r="C938" t="s">
        <v>2064</v>
      </c>
      <c r="D938" t="s">
        <v>2767</v>
      </c>
      <c r="E938" t="s">
        <v>2007</v>
      </c>
      <c r="F938">
        <v>16</v>
      </c>
      <c r="G938" t="s">
        <v>2009</v>
      </c>
      <c r="H938" t="s">
        <v>2017</v>
      </c>
      <c r="I938" t="s">
        <v>2021</v>
      </c>
      <c r="J938" t="s">
        <v>2024</v>
      </c>
      <c r="K938">
        <v>61</v>
      </c>
      <c r="L938" t="s">
        <v>2033</v>
      </c>
      <c r="M938" t="s">
        <v>2035</v>
      </c>
      <c r="N938" t="str">
        <f t="shared" si="28"/>
        <v>Pass</v>
      </c>
      <c r="O938" t="str">
        <f t="shared" si="29"/>
        <v>UnderAge</v>
      </c>
      <c r="P938" t="str" cm="1">
        <f t="array" ref="P938">_xlfn.IFS(K938&gt;90,"Excellent",K938&gt;80,"Very Good",K938&gt;70,"Good",K938&gt;=50,"Poor",K938&lt;50,"Fail")</f>
        <v>Poor</v>
      </c>
    </row>
    <row r="939" spans="1:16" x14ac:dyDescent="0.25">
      <c r="A939" t="s">
        <v>948</v>
      </c>
      <c r="B939" t="s">
        <v>1945</v>
      </c>
      <c r="C939" t="s">
        <v>2401</v>
      </c>
      <c r="D939" t="s">
        <v>2831</v>
      </c>
      <c r="E939" t="s">
        <v>2008</v>
      </c>
      <c r="F939">
        <v>17</v>
      </c>
      <c r="G939" t="s">
        <v>2009</v>
      </c>
      <c r="H939" t="s">
        <v>2017</v>
      </c>
      <c r="I939" t="s">
        <v>2022</v>
      </c>
      <c r="J939" t="s">
        <v>2024</v>
      </c>
      <c r="K939">
        <v>58</v>
      </c>
      <c r="L939" t="s">
        <v>2029</v>
      </c>
      <c r="M939" t="s">
        <v>2035</v>
      </c>
      <c r="N939" t="str">
        <f t="shared" si="28"/>
        <v>Pass</v>
      </c>
      <c r="O939" t="str">
        <f t="shared" si="29"/>
        <v>UnderAge</v>
      </c>
      <c r="P939" t="str" cm="1">
        <f t="array" ref="P939">_xlfn.IFS(K939&gt;90,"Excellent",K939&gt;80,"Very Good",K939&gt;70,"Good",K939&gt;=50,"Poor",K939&lt;50,"Fail")</f>
        <v>Poor</v>
      </c>
    </row>
    <row r="940" spans="1:16" x14ac:dyDescent="0.25">
      <c r="A940" t="s">
        <v>949</v>
      </c>
      <c r="B940" t="s">
        <v>1946</v>
      </c>
      <c r="C940" t="s">
        <v>2298</v>
      </c>
      <c r="D940" t="s">
        <v>2659</v>
      </c>
      <c r="E940" t="s">
        <v>2007</v>
      </c>
      <c r="F940">
        <v>16</v>
      </c>
      <c r="G940" t="s">
        <v>2012</v>
      </c>
      <c r="H940" t="s">
        <v>2017</v>
      </c>
      <c r="I940" t="s">
        <v>2022</v>
      </c>
      <c r="J940" t="s">
        <v>2023</v>
      </c>
      <c r="K940">
        <v>76</v>
      </c>
      <c r="L940" t="s">
        <v>2033</v>
      </c>
      <c r="M940" t="s">
        <v>2035</v>
      </c>
      <c r="N940" t="str">
        <f t="shared" si="28"/>
        <v>Pass</v>
      </c>
      <c r="O940" t="str">
        <f t="shared" si="29"/>
        <v>UnderAge</v>
      </c>
      <c r="P940" t="str" cm="1">
        <f t="array" ref="P940">_xlfn.IFS(K940&gt;90,"Excellent",K940&gt;80,"Very Good",K940&gt;70,"Good",K940&gt;=50,"Poor",K940&lt;50,"Fail")</f>
        <v>Good</v>
      </c>
    </row>
    <row r="941" spans="1:16" x14ac:dyDescent="0.25">
      <c r="A941" t="s">
        <v>950</v>
      </c>
      <c r="B941" t="s">
        <v>1947</v>
      </c>
      <c r="C941" t="s">
        <v>2078</v>
      </c>
      <c r="D941" t="s">
        <v>2453</v>
      </c>
      <c r="E941" t="s">
        <v>2007</v>
      </c>
      <c r="F941">
        <v>17</v>
      </c>
      <c r="G941" t="s">
        <v>2010</v>
      </c>
      <c r="H941" t="s">
        <v>2017</v>
      </c>
      <c r="I941" t="s">
        <v>2021</v>
      </c>
      <c r="J941" t="s">
        <v>2024</v>
      </c>
      <c r="K941">
        <v>45</v>
      </c>
      <c r="L941" t="s">
        <v>2027</v>
      </c>
      <c r="M941" t="s">
        <v>2036</v>
      </c>
      <c r="N941" t="str">
        <f t="shared" si="28"/>
        <v>Fail</v>
      </c>
      <c r="O941" t="str">
        <f t="shared" si="29"/>
        <v>UnderAge</v>
      </c>
      <c r="P941" t="str" cm="1">
        <f t="array" ref="P941">_xlfn.IFS(K941&gt;90,"Excellent",K941&gt;80,"Very Good",K941&gt;70,"Good",K941&gt;=50,"Poor",K941&lt;50,"Fail")</f>
        <v>Fail</v>
      </c>
    </row>
    <row r="942" spans="1:16" x14ac:dyDescent="0.25">
      <c r="A942" t="s">
        <v>951</v>
      </c>
      <c r="B942" t="s">
        <v>1948</v>
      </c>
      <c r="C942" t="s">
        <v>2145</v>
      </c>
      <c r="D942" t="s">
        <v>2049</v>
      </c>
      <c r="E942" t="s">
        <v>2007</v>
      </c>
      <c r="F942">
        <v>18</v>
      </c>
      <c r="G942" t="s">
        <v>2012</v>
      </c>
      <c r="H942" t="s">
        <v>2017</v>
      </c>
      <c r="I942" t="s">
        <v>2022</v>
      </c>
      <c r="J942" t="s">
        <v>2023</v>
      </c>
      <c r="K942">
        <v>90</v>
      </c>
      <c r="L942" t="s">
        <v>2029</v>
      </c>
      <c r="M942" t="s">
        <v>2035</v>
      </c>
      <c r="N942" t="str">
        <f t="shared" si="28"/>
        <v>Pass</v>
      </c>
      <c r="O942" t="str">
        <f t="shared" si="29"/>
        <v>Adult</v>
      </c>
      <c r="P942" t="str" cm="1">
        <f t="array" ref="P942">_xlfn.IFS(K942&gt;90,"Excellent",K942&gt;80,"Very Good",K942&gt;70,"Good",K942&gt;=50,"Poor",K942&lt;50,"Fail")</f>
        <v>Very Good</v>
      </c>
    </row>
    <row r="943" spans="1:16" x14ac:dyDescent="0.25">
      <c r="A943" t="s">
        <v>952</v>
      </c>
      <c r="B943" t="s">
        <v>1949</v>
      </c>
      <c r="C943" t="s">
        <v>2216</v>
      </c>
      <c r="D943" t="s">
        <v>2045</v>
      </c>
      <c r="E943" t="s">
        <v>2007</v>
      </c>
      <c r="F943">
        <v>14</v>
      </c>
      <c r="G943" t="s">
        <v>2011</v>
      </c>
      <c r="H943" t="s">
        <v>2016</v>
      </c>
      <c r="I943" t="s">
        <v>2018</v>
      </c>
      <c r="J943" t="s">
        <v>2023</v>
      </c>
      <c r="K943">
        <v>57</v>
      </c>
      <c r="L943" t="s">
        <v>2025</v>
      </c>
      <c r="M943" t="s">
        <v>2035</v>
      </c>
      <c r="N943" t="str">
        <f t="shared" si="28"/>
        <v>Pass</v>
      </c>
      <c r="O943" t="str">
        <f t="shared" si="29"/>
        <v>UnderAge</v>
      </c>
      <c r="P943" t="str" cm="1">
        <f t="array" ref="P943">_xlfn.IFS(K943&gt;90,"Excellent",K943&gt;80,"Very Good",K943&gt;70,"Good",K943&gt;=50,"Poor",K943&lt;50,"Fail")</f>
        <v>Poor</v>
      </c>
    </row>
    <row r="944" spans="1:16" x14ac:dyDescent="0.25">
      <c r="A944" t="s">
        <v>953</v>
      </c>
      <c r="B944" t="s">
        <v>1950</v>
      </c>
      <c r="C944" t="s">
        <v>2402</v>
      </c>
      <c r="D944" t="s">
        <v>2058</v>
      </c>
      <c r="E944" t="s">
        <v>2007</v>
      </c>
      <c r="F944">
        <v>15</v>
      </c>
      <c r="G944" t="s">
        <v>2010</v>
      </c>
      <c r="H944" t="s">
        <v>2017</v>
      </c>
      <c r="I944" t="s">
        <v>2021</v>
      </c>
      <c r="J944" t="s">
        <v>2024</v>
      </c>
      <c r="K944">
        <v>40</v>
      </c>
      <c r="L944" t="s">
        <v>2026</v>
      </c>
      <c r="M944" t="s">
        <v>2036</v>
      </c>
      <c r="N944" t="str">
        <f t="shared" si="28"/>
        <v>Fail</v>
      </c>
      <c r="O944" t="str">
        <f t="shared" si="29"/>
        <v>UnderAge</v>
      </c>
      <c r="P944" t="str" cm="1">
        <f t="array" ref="P944">_xlfn.IFS(K944&gt;90,"Excellent",K944&gt;80,"Very Good",K944&gt;70,"Good",K944&gt;=50,"Poor",K944&lt;50,"Fail")</f>
        <v>Fail</v>
      </c>
    </row>
    <row r="945" spans="1:16" x14ac:dyDescent="0.25">
      <c r="A945" t="s">
        <v>954</v>
      </c>
      <c r="B945" t="s">
        <v>1951</v>
      </c>
      <c r="C945" t="s">
        <v>2270</v>
      </c>
      <c r="D945" t="s">
        <v>2762</v>
      </c>
      <c r="E945" t="s">
        <v>2008</v>
      </c>
      <c r="F945">
        <v>15</v>
      </c>
      <c r="G945" t="s">
        <v>2012</v>
      </c>
      <c r="H945" t="s">
        <v>2015</v>
      </c>
      <c r="I945" t="s">
        <v>2022</v>
      </c>
      <c r="J945" t="s">
        <v>2023</v>
      </c>
      <c r="K945">
        <v>75</v>
      </c>
      <c r="L945" t="s">
        <v>2026</v>
      </c>
      <c r="M945" t="s">
        <v>2035</v>
      </c>
      <c r="N945" t="str">
        <f t="shared" si="28"/>
        <v>Pass</v>
      </c>
      <c r="O945" t="str">
        <f t="shared" si="29"/>
        <v>UnderAge</v>
      </c>
      <c r="P945" t="str" cm="1">
        <f t="array" ref="P945">_xlfn.IFS(K945&gt;90,"Excellent",K945&gt;80,"Very Good",K945&gt;70,"Good",K945&gt;=50,"Poor",K945&lt;50,"Fail")</f>
        <v>Good</v>
      </c>
    </row>
    <row r="946" spans="1:16" x14ac:dyDescent="0.25">
      <c r="A946" t="s">
        <v>955</v>
      </c>
      <c r="B946" t="s">
        <v>1952</v>
      </c>
      <c r="C946" t="s">
        <v>2113</v>
      </c>
      <c r="D946" t="s">
        <v>2802</v>
      </c>
      <c r="E946" t="s">
        <v>2007</v>
      </c>
      <c r="F946">
        <v>17</v>
      </c>
      <c r="G946" t="s">
        <v>2009</v>
      </c>
      <c r="H946" t="s">
        <v>2017</v>
      </c>
      <c r="I946" t="s">
        <v>2021</v>
      </c>
      <c r="J946" t="s">
        <v>2024</v>
      </c>
      <c r="K946">
        <v>94</v>
      </c>
      <c r="L946" t="s">
        <v>2031</v>
      </c>
      <c r="M946" t="s">
        <v>2035</v>
      </c>
      <c r="N946" t="str">
        <f t="shared" si="28"/>
        <v>Pass</v>
      </c>
      <c r="O946" t="str">
        <f t="shared" si="29"/>
        <v>UnderAge</v>
      </c>
      <c r="P946" t="str" cm="1">
        <f t="array" ref="P946">_xlfn.IFS(K946&gt;90,"Excellent",K946&gt;80,"Very Good",K946&gt;70,"Good",K946&gt;=50,"Poor",K946&lt;50,"Fail")</f>
        <v>Excellent</v>
      </c>
    </row>
    <row r="947" spans="1:16" x14ac:dyDescent="0.25">
      <c r="A947" t="s">
        <v>956</v>
      </c>
      <c r="B947" t="s">
        <v>1953</v>
      </c>
      <c r="C947" t="s">
        <v>2092</v>
      </c>
      <c r="D947" t="s">
        <v>2046</v>
      </c>
      <c r="E947" t="s">
        <v>2008</v>
      </c>
      <c r="F947">
        <v>18</v>
      </c>
      <c r="G947" t="s">
        <v>2013</v>
      </c>
      <c r="H947" t="s">
        <v>2014</v>
      </c>
      <c r="I947" t="s">
        <v>2020</v>
      </c>
      <c r="J947" t="s">
        <v>2023</v>
      </c>
      <c r="K947">
        <v>0</v>
      </c>
      <c r="L947" t="s">
        <v>2031</v>
      </c>
      <c r="M947" t="s">
        <v>2036</v>
      </c>
      <c r="N947" t="str">
        <f t="shared" si="28"/>
        <v>Fail</v>
      </c>
      <c r="O947" t="str">
        <f t="shared" si="29"/>
        <v>Adult</v>
      </c>
      <c r="P947" t="str" cm="1">
        <f t="array" ref="P947">_xlfn.IFS(K947&gt;90,"Excellent",K947&gt;80,"Very Good",K947&gt;70,"Good",K947&gt;=50,"Poor",K947&lt;50,"Fail")</f>
        <v>Fail</v>
      </c>
    </row>
    <row r="948" spans="1:16" x14ac:dyDescent="0.25">
      <c r="A948" t="s">
        <v>957</v>
      </c>
      <c r="B948" t="s">
        <v>1954</v>
      </c>
      <c r="C948" t="s">
        <v>2071</v>
      </c>
      <c r="D948" t="s">
        <v>2832</v>
      </c>
      <c r="E948" t="s">
        <v>2008</v>
      </c>
      <c r="F948">
        <v>18</v>
      </c>
      <c r="G948" t="s">
        <v>2012</v>
      </c>
      <c r="H948" t="s">
        <v>2016</v>
      </c>
      <c r="I948" t="s">
        <v>2020</v>
      </c>
      <c r="J948" t="s">
        <v>2023</v>
      </c>
      <c r="K948">
        <v>20</v>
      </c>
      <c r="L948" t="s">
        <v>2027</v>
      </c>
      <c r="M948" t="s">
        <v>2036</v>
      </c>
      <c r="N948" t="str">
        <f t="shared" si="28"/>
        <v>Fail</v>
      </c>
      <c r="O948" t="str">
        <f t="shared" si="29"/>
        <v>Adult</v>
      </c>
      <c r="P948" t="str" cm="1">
        <f t="array" ref="P948">_xlfn.IFS(K948&gt;90,"Excellent",K948&gt;80,"Very Good",K948&gt;70,"Good",K948&gt;=50,"Poor",K948&lt;50,"Fail")</f>
        <v>Fail</v>
      </c>
    </row>
    <row r="949" spans="1:16" x14ac:dyDescent="0.25">
      <c r="A949" t="s">
        <v>958</v>
      </c>
      <c r="B949" t="s">
        <v>1955</v>
      </c>
      <c r="C949" t="s">
        <v>2358</v>
      </c>
      <c r="D949" t="s">
        <v>2600</v>
      </c>
      <c r="E949" t="s">
        <v>2008</v>
      </c>
      <c r="F949">
        <v>15</v>
      </c>
      <c r="G949" t="s">
        <v>2013</v>
      </c>
      <c r="H949" t="s">
        <v>2015</v>
      </c>
      <c r="I949" t="s">
        <v>2022</v>
      </c>
      <c r="J949" t="s">
        <v>2023</v>
      </c>
      <c r="K949">
        <v>4</v>
      </c>
      <c r="L949" t="s">
        <v>2031</v>
      </c>
      <c r="M949" t="s">
        <v>2036</v>
      </c>
      <c r="N949" t="str">
        <f t="shared" si="28"/>
        <v>Fail</v>
      </c>
      <c r="O949" t="str">
        <f t="shared" si="29"/>
        <v>UnderAge</v>
      </c>
      <c r="P949" t="str" cm="1">
        <f t="array" ref="P949">_xlfn.IFS(K949&gt;90,"Excellent",K949&gt;80,"Very Good",K949&gt;70,"Good",K949&gt;=50,"Poor",K949&lt;50,"Fail")</f>
        <v>Fail</v>
      </c>
    </row>
    <row r="950" spans="1:16" x14ac:dyDescent="0.25">
      <c r="A950" t="s">
        <v>959</v>
      </c>
      <c r="B950" t="s">
        <v>1956</v>
      </c>
      <c r="C950" t="s">
        <v>2266</v>
      </c>
      <c r="D950" t="s">
        <v>2652</v>
      </c>
      <c r="E950" t="s">
        <v>2007</v>
      </c>
      <c r="F950">
        <v>16</v>
      </c>
      <c r="G950" t="s">
        <v>2011</v>
      </c>
      <c r="H950" t="s">
        <v>2017</v>
      </c>
      <c r="I950" t="s">
        <v>2022</v>
      </c>
      <c r="J950" t="s">
        <v>2024</v>
      </c>
      <c r="K950">
        <v>54</v>
      </c>
      <c r="L950" t="s">
        <v>2026</v>
      </c>
      <c r="M950" t="s">
        <v>2035</v>
      </c>
      <c r="N950" t="str">
        <f t="shared" si="28"/>
        <v>Pass</v>
      </c>
      <c r="O950" t="str">
        <f t="shared" si="29"/>
        <v>UnderAge</v>
      </c>
      <c r="P950" t="str" cm="1">
        <f t="array" ref="P950">_xlfn.IFS(K950&gt;90,"Excellent",K950&gt;80,"Very Good",K950&gt;70,"Good",K950&gt;=50,"Poor",K950&lt;50,"Fail")</f>
        <v>Poor</v>
      </c>
    </row>
    <row r="951" spans="1:16" x14ac:dyDescent="0.25">
      <c r="A951" t="s">
        <v>960</v>
      </c>
      <c r="B951" t="s">
        <v>1957</v>
      </c>
      <c r="C951" t="s">
        <v>2403</v>
      </c>
      <c r="D951" t="s">
        <v>2543</v>
      </c>
      <c r="E951" t="s">
        <v>2008</v>
      </c>
      <c r="F951">
        <v>17</v>
      </c>
      <c r="G951" t="s">
        <v>2012</v>
      </c>
      <c r="H951" t="s">
        <v>2016</v>
      </c>
      <c r="I951" t="s">
        <v>2019</v>
      </c>
      <c r="J951" t="s">
        <v>2024</v>
      </c>
      <c r="K951">
        <v>60</v>
      </c>
      <c r="L951" t="s">
        <v>2031</v>
      </c>
      <c r="M951" t="s">
        <v>2035</v>
      </c>
      <c r="N951" t="str">
        <f t="shared" si="28"/>
        <v>Pass</v>
      </c>
      <c r="O951" t="str">
        <f t="shared" si="29"/>
        <v>UnderAge</v>
      </c>
      <c r="P951" t="str" cm="1">
        <f t="array" ref="P951">_xlfn.IFS(K951&gt;90,"Excellent",K951&gt;80,"Very Good",K951&gt;70,"Good",K951&gt;=50,"Poor",K951&lt;50,"Fail")</f>
        <v>Poor</v>
      </c>
    </row>
    <row r="952" spans="1:16" x14ac:dyDescent="0.25">
      <c r="A952" t="s">
        <v>961</v>
      </c>
      <c r="B952" t="s">
        <v>1958</v>
      </c>
      <c r="C952" t="s">
        <v>2395</v>
      </c>
      <c r="D952" t="s">
        <v>2833</v>
      </c>
      <c r="E952" t="s">
        <v>2008</v>
      </c>
      <c r="F952">
        <v>17</v>
      </c>
      <c r="G952" t="s">
        <v>2013</v>
      </c>
      <c r="H952" t="s">
        <v>2017</v>
      </c>
      <c r="I952" t="s">
        <v>2018</v>
      </c>
      <c r="J952" t="s">
        <v>2024</v>
      </c>
      <c r="K952">
        <v>14</v>
      </c>
      <c r="L952" t="s">
        <v>2031</v>
      </c>
      <c r="M952" t="s">
        <v>2036</v>
      </c>
      <c r="N952" t="str">
        <f t="shared" si="28"/>
        <v>Fail</v>
      </c>
      <c r="O952" t="str">
        <f t="shared" si="29"/>
        <v>UnderAge</v>
      </c>
      <c r="P952" t="str" cm="1">
        <f t="array" ref="P952">_xlfn.IFS(K952&gt;90,"Excellent",K952&gt;80,"Very Good",K952&gt;70,"Good",K952&gt;=50,"Poor",K952&lt;50,"Fail")</f>
        <v>Fail</v>
      </c>
    </row>
    <row r="953" spans="1:16" x14ac:dyDescent="0.25">
      <c r="A953" t="s">
        <v>962</v>
      </c>
      <c r="B953" t="s">
        <v>1959</v>
      </c>
      <c r="C953" t="s">
        <v>2089</v>
      </c>
      <c r="D953" t="s">
        <v>2535</v>
      </c>
      <c r="E953" t="s">
        <v>2008</v>
      </c>
      <c r="F953">
        <v>14</v>
      </c>
      <c r="G953" t="s">
        <v>2009</v>
      </c>
      <c r="H953" t="s">
        <v>2017</v>
      </c>
      <c r="I953" t="s">
        <v>2021</v>
      </c>
      <c r="J953" t="s">
        <v>2023</v>
      </c>
      <c r="K953">
        <v>47</v>
      </c>
      <c r="L953" t="s">
        <v>2029</v>
      </c>
      <c r="M953" t="s">
        <v>2036</v>
      </c>
      <c r="N953" t="str">
        <f t="shared" si="28"/>
        <v>Fail</v>
      </c>
      <c r="O953" t="str">
        <f t="shared" si="29"/>
        <v>UnderAge</v>
      </c>
      <c r="P953" t="str" cm="1">
        <f t="array" ref="P953">_xlfn.IFS(K953&gt;90,"Excellent",K953&gt;80,"Very Good",K953&gt;70,"Good",K953&gt;=50,"Poor",K953&lt;50,"Fail")</f>
        <v>Fail</v>
      </c>
    </row>
    <row r="954" spans="1:16" x14ac:dyDescent="0.25">
      <c r="A954" t="s">
        <v>963</v>
      </c>
      <c r="B954" t="s">
        <v>1960</v>
      </c>
      <c r="C954" t="s">
        <v>2224</v>
      </c>
      <c r="D954" t="s">
        <v>2732</v>
      </c>
      <c r="E954" t="s">
        <v>2007</v>
      </c>
      <c r="F954">
        <v>16</v>
      </c>
      <c r="G954" t="s">
        <v>2012</v>
      </c>
      <c r="H954" t="s">
        <v>2014</v>
      </c>
      <c r="I954" t="s">
        <v>2021</v>
      </c>
      <c r="J954" t="s">
        <v>2023</v>
      </c>
      <c r="K954">
        <v>52</v>
      </c>
      <c r="L954" t="s">
        <v>2030</v>
      </c>
      <c r="M954" t="s">
        <v>2035</v>
      </c>
      <c r="N954" t="str">
        <f t="shared" si="28"/>
        <v>Pass</v>
      </c>
      <c r="O954" t="str">
        <f t="shared" si="29"/>
        <v>UnderAge</v>
      </c>
      <c r="P954" t="str" cm="1">
        <f t="array" ref="P954">_xlfn.IFS(K954&gt;90,"Excellent",K954&gt;80,"Very Good",K954&gt;70,"Good",K954&gt;=50,"Poor",K954&lt;50,"Fail")</f>
        <v>Poor</v>
      </c>
    </row>
    <row r="955" spans="1:16" x14ac:dyDescent="0.25">
      <c r="A955" t="s">
        <v>964</v>
      </c>
      <c r="B955" t="s">
        <v>1961</v>
      </c>
      <c r="C955" t="s">
        <v>2150</v>
      </c>
      <c r="D955" t="s">
        <v>2219</v>
      </c>
      <c r="E955" t="s">
        <v>2007</v>
      </c>
      <c r="F955">
        <v>18</v>
      </c>
      <c r="G955" t="s">
        <v>2012</v>
      </c>
      <c r="H955" t="s">
        <v>2014</v>
      </c>
      <c r="I955" t="s">
        <v>2020</v>
      </c>
      <c r="J955" t="s">
        <v>2024</v>
      </c>
      <c r="K955">
        <v>83</v>
      </c>
      <c r="L955" t="s">
        <v>2030</v>
      </c>
      <c r="M955" t="s">
        <v>2035</v>
      </c>
      <c r="N955" t="str">
        <f t="shared" si="28"/>
        <v>Pass</v>
      </c>
      <c r="O955" t="str">
        <f t="shared" si="29"/>
        <v>Adult</v>
      </c>
      <c r="P955" t="str" cm="1">
        <f t="array" ref="P955">_xlfn.IFS(K955&gt;90,"Excellent",K955&gt;80,"Very Good",K955&gt;70,"Good",K955&gt;=50,"Poor",K955&lt;50,"Fail")</f>
        <v>Very Good</v>
      </c>
    </row>
    <row r="956" spans="1:16" x14ac:dyDescent="0.25">
      <c r="A956" t="s">
        <v>965</v>
      </c>
      <c r="B956" t="s">
        <v>1962</v>
      </c>
      <c r="C956" t="s">
        <v>2363</v>
      </c>
      <c r="D956" t="s">
        <v>2261</v>
      </c>
      <c r="E956" t="s">
        <v>2007</v>
      </c>
      <c r="F956">
        <v>17</v>
      </c>
      <c r="G956" t="s">
        <v>2011</v>
      </c>
      <c r="H956" t="s">
        <v>2016</v>
      </c>
      <c r="I956" t="s">
        <v>2020</v>
      </c>
      <c r="J956" t="s">
        <v>2024</v>
      </c>
      <c r="K956">
        <v>100</v>
      </c>
      <c r="L956" t="s">
        <v>2031</v>
      </c>
      <c r="M956" t="s">
        <v>2035</v>
      </c>
      <c r="N956" t="str">
        <f t="shared" si="28"/>
        <v>Pass</v>
      </c>
      <c r="O956" t="str">
        <f t="shared" si="29"/>
        <v>UnderAge</v>
      </c>
      <c r="P956" t="str" cm="1">
        <f t="array" ref="P956">_xlfn.IFS(K956&gt;90,"Excellent",K956&gt;80,"Very Good",K956&gt;70,"Good",K956&gt;=50,"Poor",K956&lt;50,"Fail")</f>
        <v>Excellent</v>
      </c>
    </row>
    <row r="957" spans="1:16" x14ac:dyDescent="0.25">
      <c r="A957" t="s">
        <v>966</v>
      </c>
      <c r="B957" t="s">
        <v>1963</v>
      </c>
      <c r="C957" t="s">
        <v>2064</v>
      </c>
      <c r="D957" t="s">
        <v>2523</v>
      </c>
      <c r="E957" t="s">
        <v>2007</v>
      </c>
      <c r="F957">
        <v>18</v>
      </c>
      <c r="G957" t="s">
        <v>2012</v>
      </c>
      <c r="H957" t="s">
        <v>2016</v>
      </c>
      <c r="I957" t="s">
        <v>2022</v>
      </c>
      <c r="J957" t="s">
        <v>2023</v>
      </c>
      <c r="K957">
        <v>8</v>
      </c>
      <c r="L957" t="s">
        <v>2027</v>
      </c>
      <c r="M957" t="s">
        <v>2036</v>
      </c>
      <c r="N957" t="str">
        <f t="shared" si="28"/>
        <v>Fail</v>
      </c>
      <c r="O957" t="str">
        <f t="shared" si="29"/>
        <v>Adult</v>
      </c>
      <c r="P957" t="str" cm="1">
        <f t="array" ref="P957">_xlfn.IFS(K957&gt;90,"Excellent",K957&gt;80,"Very Good",K957&gt;70,"Good",K957&gt;=50,"Poor",K957&lt;50,"Fail")</f>
        <v>Fail</v>
      </c>
    </row>
    <row r="958" spans="1:16" x14ac:dyDescent="0.25">
      <c r="A958" t="s">
        <v>967</v>
      </c>
      <c r="B958" t="s">
        <v>1964</v>
      </c>
      <c r="C958" t="s">
        <v>2385</v>
      </c>
      <c r="D958" t="s">
        <v>2498</v>
      </c>
      <c r="E958" t="s">
        <v>2008</v>
      </c>
      <c r="F958">
        <v>15</v>
      </c>
      <c r="G958" t="s">
        <v>2013</v>
      </c>
      <c r="H958" t="s">
        <v>2015</v>
      </c>
      <c r="I958" t="s">
        <v>2022</v>
      </c>
      <c r="J958" t="s">
        <v>2023</v>
      </c>
      <c r="K958">
        <v>48</v>
      </c>
      <c r="L958" t="s">
        <v>2029</v>
      </c>
      <c r="M958" t="s">
        <v>2036</v>
      </c>
      <c r="N958" t="str">
        <f t="shared" si="28"/>
        <v>Fail</v>
      </c>
      <c r="O958" t="str">
        <f t="shared" si="29"/>
        <v>UnderAge</v>
      </c>
      <c r="P958" t="str" cm="1">
        <f t="array" ref="P958">_xlfn.IFS(K958&gt;90,"Excellent",K958&gt;80,"Very Good",K958&gt;70,"Good",K958&gt;=50,"Poor",K958&lt;50,"Fail")</f>
        <v>Fail</v>
      </c>
    </row>
    <row r="959" spans="1:16" x14ac:dyDescent="0.25">
      <c r="A959" t="s">
        <v>968</v>
      </c>
      <c r="B959" t="s">
        <v>1965</v>
      </c>
      <c r="C959" t="s">
        <v>2148</v>
      </c>
      <c r="D959" t="s">
        <v>2834</v>
      </c>
      <c r="E959" t="s">
        <v>2008</v>
      </c>
      <c r="F959">
        <v>14</v>
      </c>
      <c r="G959" t="s">
        <v>2009</v>
      </c>
      <c r="H959" t="s">
        <v>2015</v>
      </c>
      <c r="I959" t="s">
        <v>2018</v>
      </c>
      <c r="J959" t="s">
        <v>2023</v>
      </c>
      <c r="K959">
        <v>85</v>
      </c>
      <c r="L959" t="s">
        <v>2034</v>
      </c>
      <c r="M959" t="s">
        <v>2035</v>
      </c>
      <c r="N959" t="str">
        <f t="shared" si="28"/>
        <v>Pass</v>
      </c>
      <c r="O959" t="str">
        <f t="shared" si="29"/>
        <v>UnderAge</v>
      </c>
      <c r="P959" t="str" cm="1">
        <f t="array" ref="P959">_xlfn.IFS(K959&gt;90,"Excellent",K959&gt;80,"Very Good",K959&gt;70,"Good",K959&gt;=50,"Poor",K959&lt;50,"Fail")</f>
        <v>Very Good</v>
      </c>
    </row>
    <row r="960" spans="1:16" x14ac:dyDescent="0.25">
      <c r="A960" t="s">
        <v>969</v>
      </c>
      <c r="B960" t="s">
        <v>1966</v>
      </c>
      <c r="C960" t="s">
        <v>2083</v>
      </c>
      <c r="D960" t="s">
        <v>2835</v>
      </c>
      <c r="E960" t="s">
        <v>2007</v>
      </c>
      <c r="F960">
        <v>16</v>
      </c>
      <c r="G960" t="s">
        <v>2011</v>
      </c>
      <c r="H960" t="s">
        <v>2017</v>
      </c>
      <c r="I960" t="s">
        <v>2022</v>
      </c>
      <c r="J960" t="s">
        <v>2024</v>
      </c>
      <c r="K960">
        <v>92</v>
      </c>
      <c r="L960" t="s">
        <v>2027</v>
      </c>
      <c r="M960" t="s">
        <v>2035</v>
      </c>
      <c r="N960" t="str">
        <f t="shared" si="28"/>
        <v>Pass</v>
      </c>
      <c r="O960" t="str">
        <f t="shared" si="29"/>
        <v>UnderAge</v>
      </c>
      <c r="P960" t="str" cm="1">
        <f t="array" ref="P960">_xlfn.IFS(K960&gt;90,"Excellent",K960&gt;80,"Very Good",K960&gt;70,"Good",K960&gt;=50,"Poor",K960&lt;50,"Fail")</f>
        <v>Excellent</v>
      </c>
    </row>
    <row r="961" spans="1:16" x14ac:dyDescent="0.25">
      <c r="A961" t="s">
        <v>970</v>
      </c>
      <c r="B961" t="s">
        <v>1967</v>
      </c>
      <c r="C961" t="s">
        <v>2252</v>
      </c>
      <c r="D961" t="s">
        <v>2429</v>
      </c>
      <c r="E961" t="s">
        <v>2007</v>
      </c>
      <c r="F961">
        <v>17</v>
      </c>
      <c r="G961" t="s">
        <v>2011</v>
      </c>
      <c r="H961" t="s">
        <v>2014</v>
      </c>
      <c r="I961" t="s">
        <v>2019</v>
      </c>
      <c r="J961" t="s">
        <v>2023</v>
      </c>
      <c r="K961">
        <v>87</v>
      </c>
      <c r="L961" t="s">
        <v>2027</v>
      </c>
      <c r="M961" t="s">
        <v>2035</v>
      </c>
      <c r="N961" t="str">
        <f t="shared" si="28"/>
        <v>Pass</v>
      </c>
      <c r="O961" t="str">
        <f t="shared" si="29"/>
        <v>UnderAge</v>
      </c>
      <c r="P961" t="str" cm="1">
        <f t="array" ref="P961">_xlfn.IFS(K961&gt;90,"Excellent",K961&gt;80,"Very Good",K961&gt;70,"Good",K961&gt;=50,"Poor",K961&lt;50,"Fail")</f>
        <v>Very Good</v>
      </c>
    </row>
    <row r="962" spans="1:16" x14ac:dyDescent="0.25">
      <c r="A962" t="s">
        <v>971</v>
      </c>
      <c r="B962" t="s">
        <v>1488</v>
      </c>
      <c r="C962" t="s">
        <v>2206</v>
      </c>
      <c r="D962" t="s">
        <v>2058</v>
      </c>
      <c r="E962" t="s">
        <v>2007</v>
      </c>
      <c r="F962">
        <v>14</v>
      </c>
      <c r="G962" t="s">
        <v>2012</v>
      </c>
      <c r="H962" t="s">
        <v>2015</v>
      </c>
      <c r="I962" t="s">
        <v>2021</v>
      </c>
      <c r="J962" t="s">
        <v>2023</v>
      </c>
      <c r="K962">
        <v>51</v>
      </c>
      <c r="L962" t="s">
        <v>2032</v>
      </c>
      <c r="M962" t="s">
        <v>2035</v>
      </c>
      <c r="N962" t="str">
        <f t="shared" si="28"/>
        <v>Pass</v>
      </c>
      <c r="O962" t="str">
        <f t="shared" si="29"/>
        <v>UnderAge</v>
      </c>
      <c r="P962" t="str" cm="1">
        <f t="array" ref="P962">_xlfn.IFS(K962&gt;90,"Excellent",K962&gt;80,"Very Good",K962&gt;70,"Good",K962&gt;=50,"Poor",K962&lt;50,"Fail")</f>
        <v>Poor</v>
      </c>
    </row>
    <row r="963" spans="1:16" x14ac:dyDescent="0.25">
      <c r="A963" t="s">
        <v>972</v>
      </c>
      <c r="B963" t="s">
        <v>1968</v>
      </c>
      <c r="C963" t="s">
        <v>2135</v>
      </c>
      <c r="D963" t="s">
        <v>2069</v>
      </c>
      <c r="E963" t="s">
        <v>2007</v>
      </c>
      <c r="F963">
        <v>18</v>
      </c>
      <c r="G963" t="s">
        <v>2010</v>
      </c>
      <c r="H963" t="s">
        <v>2015</v>
      </c>
      <c r="I963" t="s">
        <v>2022</v>
      </c>
      <c r="J963" t="s">
        <v>2023</v>
      </c>
      <c r="K963">
        <v>57</v>
      </c>
      <c r="L963" t="s">
        <v>2026</v>
      </c>
      <c r="M963" t="s">
        <v>2035</v>
      </c>
      <c r="N963" t="str">
        <f t="shared" ref="N963:N1001" si="30">IF(K963&gt;=50,"Pass","Fail")</f>
        <v>Pass</v>
      </c>
      <c r="O963" t="str">
        <f t="shared" ref="O963:O1001" si="31">IF(F963&gt;=18,"Adult","UnderAge")</f>
        <v>Adult</v>
      </c>
      <c r="P963" t="str" cm="1">
        <f t="array" ref="P963">_xlfn.IFS(K963&gt;90,"Excellent",K963&gt;80,"Very Good",K963&gt;70,"Good",K963&gt;=50,"Poor",K963&lt;50,"Fail")</f>
        <v>Poor</v>
      </c>
    </row>
    <row r="964" spans="1:16" x14ac:dyDescent="0.25">
      <c r="A964" t="s">
        <v>973</v>
      </c>
      <c r="B964" t="s">
        <v>1969</v>
      </c>
      <c r="C964" t="s">
        <v>2092</v>
      </c>
      <c r="D964" t="s">
        <v>2836</v>
      </c>
      <c r="E964" t="s">
        <v>2008</v>
      </c>
      <c r="F964">
        <v>18</v>
      </c>
      <c r="G964" t="s">
        <v>2011</v>
      </c>
      <c r="H964" t="s">
        <v>2015</v>
      </c>
      <c r="I964" t="s">
        <v>2019</v>
      </c>
      <c r="J964" t="s">
        <v>2023</v>
      </c>
      <c r="K964">
        <v>63</v>
      </c>
      <c r="L964" t="s">
        <v>2034</v>
      </c>
      <c r="M964" t="s">
        <v>2035</v>
      </c>
      <c r="N964" t="str">
        <f t="shared" si="30"/>
        <v>Pass</v>
      </c>
      <c r="O964" t="str">
        <f t="shared" si="31"/>
        <v>Adult</v>
      </c>
      <c r="P964" t="str" cm="1">
        <f t="array" ref="P964">_xlfn.IFS(K964&gt;90,"Excellent",K964&gt;80,"Very Good",K964&gt;70,"Good",K964&gt;=50,"Poor",K964&lt;50,"Fail")</f>
        <v>Poor</v>
      </c>
    </row>
    <row r="965" spans="1:16" x14ac:dyDescent="0.25">
      <c r="A965" t="s">
        <v>974</v>
      </c>
      <c r="B965" t="s">
        <v>1970</v>
      </c>
      <c r="C965" t="s">
        <v>2119</v>
      </c>
      <c r="D965" t="s">
        <v>2474</v>
      </c>
      <c r="E965" t="s">
        <v>2007</v>
      </c>
      <c r="F965">
        <v>16</v>
      </c>
      <c r="G965" t="s">
        <v>2010</v>
      </c>
      <c r="H965" t="s">
        <v>2015</v>
      </c>
      <c r="I965" t="s">
        <v>2018</v>
      </c>
      <c r="J965" t="s">
        <v>2024</v>
      </c>
      <c r="K965">
        <v>22</v>
      </c>
      <c r="L965" t="s">
        <v>2030</v>
      </c>
      <c r="M965" t="s">
        <v>2036</v>
      </c>
      <c r="N965" t="str">
        <f t="shared" si="30"/>
        <v>Fail</v>
      </c>
      <c r="O965" t="str">
        <f t="shared" si="31"/>
        <v>UnderAge</v>
      </c>
      <c r="P965" t="str" cm="1">
        <f t="array" ref="P965">_xlfn.IFS(K965&gt;90,"Excellent",K965&gt;80,"Very Good",K965&gt;70,"Good",K965&gt;=50,"Poor",K965&lt;50,"Fail")</f>
        <v>Fail</v>
      </c>
    </row>
    <row r="966" spans="1:16" x14ac:dyDescent="0.25">
      <c r="A966" t="s">
        <v>975</v>
      </c>
      <c r="B966" t="s">
        <v>1971</v>
      </c>
      <c r="C966" t="s">
        <v>2396</v>
      </c>
      <c r="D966" t="s">
        <v>2667</v>
      </c>
      <c r="E966" t="s">
        <v>2007</v>
      </c>
      <c r="F966">
        <v>16</v>
      </c>
      <c r="G966" t="s">
        <v>2009</v>
      </c>
      <c r="H966" t="s">
        <v>2014</v>
      </c>
      <c r="I966" t="s">
        <v>2020</v>
      </c>
      <c r="J966" t="s">
        <v>2024</v>
      </c>
      <c r="K966">
        <v>24</v>
      </c>
      <c r="L966" t="s">
        <v>2031</v>
      </c>
      <c r="M966" t="s">
        <v>2036</v>
      </c>
      <c r="N966" t="str">
        <f t="shared" si="30"/>
        <v>Fail</v>
      </c>
      <c r="O966" t="str">
        <f t="shared" si="31"/>
        <v>UnderAge</v>
      </c>
      <c r="P966" t="str" cm="1">
        <f t="array" ref="P966">_xlfn.IFS(K966&gt;90,"Excellent",K966&gt;80,"Very Good",K966&gt;70,"Good",K966&gt;=50,"Poor",K966&lt;50,"Fail")</f>
        <v>Fail</v>
      </c>
    </row>
    <row r="967" spans="1:16" x14ac:dyDescent="0.25">
      <c r="A967" t="s">
        <v>976</v>
      </c>
      <c r="B967" t="s">
        <v>1972</v>
      </c>
      <c r="C967" t="s">
        <v>2364</v>
      </c>
      <c r="D967" t="s">
        <v>2413</v>
      </c>
      <c r="E967" t="s">
        <v>2008</v>
      </c>
      <c r="F967">
        <v>16</v>
      </c>
      <c r="G967" t="s">
        <v>2009</v>
      </c>
      <c r="H967" t="s">
        <v>2017</v>
      </c>
      <c r="I967" t="s">
        <v>2019</v>
      </c>
      <c r="J967" t="s">
        <v>2023</v>
      </c>
      <c r="K967">
        <v>10</v>
      </c>
      <c r="L967" t="s">
        <v>2033</v>
      </c>
      <c r="M967" t="s">
        <v>2036</v>
      </c>
      <c r="N967" t="str">
        <f t="shared" si="30"/>
        <v>Fail</v>
      </c>
      <c r="O967" t="str">
        <f t="shared" si="31"/>
        <v>UnderAge</v>
      </c>
      <c r="P967" t="str" cm="1">
        <f t="array" ref="P967">_xlfn.IFS(K967&gt;90,"Excellent",K967&gt;80,"Very Good",K967&gt;70,"Good",K967&gt;=50,"Poor",K967&lt;50,"Fail")</f>
        <v>Fail</v>
      </c>
    </row>
    <row r="968" spans="1:16" x14ac:dyDescent="0.25">
      <c r="A968" t="s">
        <v>977</v>
      </c>
      <c r="B968" t="s">
        <v>1973</v>
      </c>
      <c r="C968" t="s">
        <v>2127</v>
      </c>
      <c r="D968" t="s">
        <v>2699</v>
      </c>
      <c r="E968" t="s">
        <v>2008</v>
      </c>
      <c r="F968">
        <v>17</v>
      </c>
      <c r="G968" t="s">
        <v>2013</v>
      </c>
      <c r="H968" t="s">
        <v>2014</v>
      </c>
      <c r="I968" t="s">
        <v>2019</v>
      </c>
      <c r="J968" t="s">
        <v>2023</v>
      </c>
      <c r="K968">
        <v>95</v>
      </c>
      <c r="L968" t="s">
        <v>2030</v>
      </c>
      <c r="M968" t="s">
        <v>2035</v>
      </c>
      <c r="N968" t="str">
        <f t="shared" si="30"/>
        <v>Pass</v>
      </c>
      <c r="O968" t="str">
        <f t="shared" si="31"/>
        <v>UnderAge</v>
      </c>
      <c r="P968" t="str" cm="1">
        <f t="array" ref="P968">_xlfn.IFS(K968&gt;90,"Excellent",K968&gt;80,"Very Good",K968&gt;70,"Good",K968&gt;=50,"Poor",K968&lt;50,"Fail")</f>
        <v>Excellent</v>
      </c>
    </row>
    <row r="969" spans="1:16" x14ac:dyDescent="0.25">
      <c r="A969" t="s">
        <v>978</v>
      </c>
      <c r="B969" t="s">
        <v>1974</v>
      </c>
      <c r="C969" t="s">
        <v>2250</v>
      </c>
      <c r="D969" t="s">
        <v>2438</v>
      </c>
      <c r="E969" t="s">
        <v>2008</v>
      </c>
      <c r="F969">
        <v>14</v>
      </c>
      <c r="G969" t="s">
        <v>2013</v>
      </c>
      <c r="H969" t="s">
        <v>2014</v>
      </c>
      <c r="I969" t="s">
        <v>2022</v>
      </c>
      <c r="J969" t="s">
        <v>2024</v>
      </c>
      <c r="K969">
        <v>16</v>
      </c>
      <c r="L969" t="s">
        <v>2033</v>
      </c>
      <c r="M969" t="s">
        <v>2036</v>
      </c>
      <c r="N969" t="str">
        <f t="shared" si="30"/>
        <v>Fail</v>
      </c>
      <c r="O969" t="str">
        <f t="shared" si="31"/>
        <v>UnderAge</v>
      </c>
      <c r="P969" t="str" cm="1">
        <f t="array" ref="P969">_xlfn.IFS(K969&gt;90,"Excellent",K969&gt;80,"Very Good",K969&gt;70,"Good",K969&gt;=50,"Poor",K969&lt;50,"Fail")</f>
        <v>Fail</v>
      </c>
    </row>
    <row r="970" spans="1:16" x14ac:dyDescent="0.25">
      <c r="A970" t="s">
        <v>979</v>
      </c>
      <c r="B970" t="s">
        <v>1975</v>
      </c>
      <c r="C970" t="s">
        <v>2268</v>
      </c>
      <c r="D970" t="s">
        <v>2694</v>
      </c>
      <c r="E970" t="s">
        <v>2007</v>
      </c>
      <c r="F970">
        <v>17</v>
      </c>
      <c r="G970" t="s">
        <v>2009</v>
      </c>
      <c r="H970" t="s">
        <v>2016</v>
      </c>
      <c r="I970" t="s">
        <v>2018</v>
      </c>
      <c r="J970" t="s">
        <v>2024</v>
      </c>
      <c r="K970">
        <v>32</v>
      </c>
      <c r="L970" t="s">
        <v>2027</v>
      </c>
      <c r="M970" t="s">
        <v>2036</v>
      </c>
      <c r="N970" t="str">
        <f t="shared" si="30"/>
        <v>Fail</v>
      </c>
      <c r="O970" t="str">
        <f t="shared" si="31"/>
        <v>UnderAge</v>
      </c>
      <c r="P970" t="str" cm="1">
        <f t="array" ref="P970">_xlfn.IFS(K970&gt;90,"Excellent",K970&gt;80,"Very Good",K970&gt;70,"Good",K970&gt;=50,"Poor",K970&lt;50,"Fail")</f>
        <v>Fail</v>
      </c>
    </row>
    <row r="971" spans="1:16" x14ac:dyDescent="0.25">
      <c r="A971" t="s">
        <v>980</v>
      </c>
      <c r="B971" t="s">
        <v>1976</v>
      </c>
      <c r="C971" t="s">
        <v>2095</v>
      </c>
      <c r="D971" t="s">
        <v>2682</v>
      </c>
      <c r="E971" t="s">
        <v>2007</v>
      </c>
      <c r="F971">
        <v>17</v>
      </c>
      <c r="G971" t="s">
        <v>2011</v>
      </c>
      <c r="H971" t="s">
        <v>2017</v>
      </c>
      <c r="I971" t="s">
        <v>2020</v>
      </c>
      <c r="J971" t="s">
        <v>2024</v>
      </c>
      <c r="K971">
        <v>55</v>
      </c>
      <c r="L971" t="s">
        <v>2026</v>
      </c>
      <c r="M971" t="s">
        <v>2035</v>
      </c>
      <c r="N971" t="str">
        <f t="shared" si="30"/>
        <v>Pass</v>
      </c>
      <c r="O971" t="str">
        <f t="shared" si="31"/>
        <v>UnderAge</v>
      </c>
      <c r="P971" t="str" cm="1">
        <f t="array" ref="P971">_xlfn.IFS(K971&gt;90,"Excellent",K971&gt;80,"Very Good",K971&gt;70,"Good",K971&gt;=50,"Poor",K971&lt;50,"Fail")</f>
        <v>Poor</v>
      </c>
    </row>
    <row r="972" spans="1:16" x14ac:dyDescent="0.25">
      <c r="A972" t="s">
        <v>981</v>
      </c>
      <c r="B972" t="s">
        <v>1977</v>
      </c>
      <c r="C972" t="s">
        <v>2235</v>
      </c>
      <c r="D972" t="s">
        <v>2837</v>
      </c>
      <c r="E972" t="s">
        <v>2007</v>
      </c>
      <c r="F972">
        <v>18</v>
      </c>
      <c r="G972" t="s">
        <v>2010</v>
      </c>
      <c r="H972" t="s">
        <v>2014</v>
      </c>
      <c r="I972" t="s">
        <v>2021</v>
      </c>
      <c r="J972" t="s">
        <v>2024</v>
      </c>
      <c r="K972">
        <v>35</v>
      </c>
      <c r="L972" t="s">
        <v>2025</v>
      </c>
      <c r="M972" t="s">
        <v>2036</v>
      </c>
      <c r="N972" t="str">
        <f t="shared" si="30"/>
        <v>Fail</v>
      </c>
      <c r="O972" t="str">
        <f t="shared" si="31"/>
        <v>Adult</v>
      </c>
      <c r="P972" t="str" cm="1">
        <f t="array" ref="P972">_xlfn.IFS(K972&gt;90,"Excellent",K972&gt;80,"Very Good",K972&gt;70,"Good",K972&gt;=50,"Poor",K972&lt;50,"Fail")</f>
        <v>Fail</v>
      </c>
    </row>
    <row r="973" spans="1:16" x14ac:dyDescent="0.25">
      <c r="A973" t="s">
        <v>982</v>
      </c>
      <c r="B973" t="s">
        <v>1978</v>
      </c>
      <c r="C973" t="s">
        <v>2091</v>
      </c>
      <c r="D973" t="s">
        <v>2329</v>
      </c>
      <c r="E973" t="s">
        <v>2008</v>
      </c>
      <c r="F973">
        <v>18</v>
      </c>
      <c r="G973" t="s">
        <v>2010</v>
      </c>
      <c r="H973" t="s">
        <v>2017</v>
      </c>
      <c r="I973" t="s">
        <v>2019</v>
      </c>
      <c r="J973" t="s">
        <v>2023</v>
      </c>
      <c r="K973">
        <v>53</v>
      </c>
      <c r="L973" t="s">
        <v>2026</v>
      </c>
      <c r="M973" t="s">
        <v>2035</v>
      </c>
      <c r="N973" t="str">
        <f t="shared" si="30"/>
        <v>Pass</v>
      </c>
      <c r="O973" t="str">
        <f t="shared" si="31"/>
        <v>Adult</v>
      </c>
      <c r="P973" t="str" cm="1">
        <f t="array" ref="P973">_xlfn.IFS(K973&gt;90,"Excellent",K973&gt;80,"Very Good",K973&gt;70,"Good",K973&gt;=50,"Poor",K973&lt;50,"Fail")</f>
        <v>Poor</v>
      </c>
    </row>
    <row r="974" spans="1:16" x14ac:dyDescent="0.25">
      <c r="A974" t="s">
        <v>983</v>
      </c>
      <c r="B974" t="s">
        <v>1979</v>
      </c>
      <c r="C974" t="s">
        <v>2224</v>
      </c>
      <c r="D974" t="s">
        <v>2838</v>
      </c>
      <c r="E974" t="s">
        <v>2007</v>
      </c>
      <c r="F974">
        <v>16</v>
      </c>
      <c r="G974" t="s">
        <v>2012</v>
      </c>
      <c r="H974" t="s">
        <v>2017</v>
      </c>
      <c r="I974" t="s">
        <v>2019</v>
      </c>
      <c r="J974" t="s">
        <v>2024</v>
      </c>
      <c r="K974">
        <v>17</v>
      </c>
      <c r="L974" t="s">
        <v>2034</v>
      </c>
      <c r="M974" t="s">
        <v>2036</v>
      </c>
      <c r="N974" t="str">
        <f t="shared" si="30"/>
        <v>Fail</v>
      </c>
      <c r="O974" t="str">
        <f t="shared" si="31"/>
        <v>UnderAge</v>
      </c>
      <c r="P974" t="str" cm="1">
        <f t="array" ref="P974">_xlfn.IFS(K974&gt;90,"Excellent",K974&gt;80,"Very Good",K974&gt;70,"Good",K974&gt;=50,"Poor",K974&lt;50,"Fail")</f>
        <v>Fail</v>
      </c>
    </row>
    <row r="975" spans="1:16" x14ac:dyDescent="0.25">
      <c r="A975" t="s">
        <v>984</v>
      </c>
      <c r="B975" t="s">
        <v>1980</v>
      </c>
      <c r="C975" t="s">
        <v>2404</v>
      </c>
      <c r="D975" t="s">
        <v>2839</v>
      </c>
      <c r="E975" t="s">
        <v>2008</v>
      </c>
      <c r="F975">
        <v>17</v>
      </c>
      <c r="G975" t="s">
        <v>2012</v>
      </c>
      <c r="H975" t="s">
        <v>2015</v>
      </c>
      <c r="I975" t="s">
        <v>2020</v>
      </c>
      <c r="J975" t="s">
        <v>2024</v>
      </c>
      <c r="K975">
        <v>84</v>
      </c>
      <c r="L975" t="s">
        <v>2033</v>
      </c>
      <c r="M975" t="s">
        <v>2035</v>
      </c>
      <c r="N975" t="str">
        <f t="shared" si="30"/>
        <v>Pass</v>
      </c>
      <c r="O975" t="str">
        <f t="shared" si="31"/>
        <v>UnderAge</v>
      </c>
      <c r="P975" t="str" cm="1">
        <f t="array" ref="P975">_xlfn.IFS(K975&gt;90,"Excellent",K975&gt;80,"Very Good",K975&gt;70,"Good",K975&gt;=50,"Poor",K975&lt;50,"Fail")</f>
        <v>Very Good</v>
      </c>
    </row>
    <row r="976" spans="1:16" x14ac:dyDescent="0.25">
      <c r="A976" t="s">
        <v>985</v>
      </c>
      <c r="B976" t="s">
        <v>1981</v>
      </c>
      <c r="C976" t="s">
        <v>2106</v>
      </c>
      <c r="D976" t="s">
        <v>2061</v>
      </c>
      <c r="E976" t="s">
        <v>2008</v>
      </c>
      <c r="F976">
        <v>17</v>
      </c>
      <c r="G976" t="s">
        <v>2010</v>
      </c>
      <c r="H976" t="s">
        <v>2014</v>
      </c>
      <c r="I976" t="s">
        <v>2018</v>
      </c>
      <c r="J976" t="s">
        <v>2023</v>
      </c>
      <c r="K976">
        <v>77</v>
      </c>
      <c r="L976" t="s">
        <v>2033</v>
      </c>
      <c r="M976" t="s">
        <v>2035</v>
      </c>
      <c r="N976" t="str">
        <f t="shared" si="30"/>
        <v>Pass</v>
      </c>
      <c r="O976" t="str">
        <f t="shared" si="31"/>
        <v>UnderAge</v>
      </c>
      <c r="P976" t="str" cm="1">
        <f t="array" ref="P976">_xlfn.IFS(K976&gt;90,"Excellent",K976&gt;80,"Very Good",K976&gt;70,"Good",K976&gt;=50,"Poor",K976&lt;50,"Fail")</f>
        <v>Good</v>
      </c>
    </row>
    <row r="977" spans="1:16" x14ac:dyDescent="0.25">
      <c r="A977" t="s">
        <v>986</v>
      </c>
      <c r="B977" t="s">
        <v>1982</v>
      </c>
      <c r="C977" t="s">
        <v>2070</v>
      </c>
      <c r="D977" t="s">
        <v>2592</v>
      </c>
      <c r="E977" t="s">
        <v>2008</v>
      </c>
      <c r="F977">
        <v>14</v>
      </c>
      <c r="G977" t="s">
        <v>2009</v>
      </c>
      <c r="H977" t="s">
        <v>2016</v>
      </c>
      <c r="I977" t="s">
        <v>2020</v>
      </c>
      <c r="J977" t="s">
        <v>2023</v>
      </c>
      <c r="K977">
        <v>13</v>
      </c>
      <c r="L977" t="s">
        <v>2026</v>
      </c>
      <c r="M977" t="s">
        <v>2036</v>
      </c>
      <c r="N977" t="str">
        <f t="shared" si="30"/>
        <v>Fail</v>
      </c>
      <c r="O977" t="str">
        <f t="shared" si="31"/>
        <v>UnderAge</v>
      </c>
      <c r="P977" t="str" cm="1">
        <f t="array" ref="P977">_xlfn.IFS(K977&gt;90,"Excellent",K977&gt;80,"Very Good",K977&gt;70,"Good",K977&gt;=50,"Poor",K977&lt;50,"Fail")</f>
        <v>Fail</v>
      </c>
    </row>
    <row r="978" spans="1:16" x14ac:dyDescent="0.25">
      <c r="A978" t="s">
        <v>987</v>
      </c>
      <c r="B978" t="s">
        <v>1983</v>
      </c>
      <c r="C978" t="s">
        <v>2405</v>
      </c>
      <c r="D978" t="s">
        <v>2573</v>
      </c>
      <c r="E978" t="s">
        <v>2007</v>
      </c>
      <c r="F978">
        <v>14</v>
      </c>
      <c r="G978" t="s">
        <v>2011</v>
      </c>
      <c r="H978" t="s">
        <v>2016</v>
      </c>
      <c r="I978" t="s">
        <v>2021</v>
      </c>
      <c r="J978" t="s">
        <v>2024</v>
      </c>
      <c r="K978">
        <v>41</v>
      </c>
      <c r="L978" t="s">
        <v>2033</v>
      </c>
      <c r="M978" t="s">
        <v>2036</v>
      </c>
      <c r="N978" t="str">
        <f t="shared" si="30"/>
        <v>Fail</v>
      </c>
      <c r="O978" t="str">
        <f t="shared" si="31"/>
        <v>UnderAge</v>
      </c>
      <c r="P978" t="str" cm="1">
        <f t="array" ref="P978">_xlfn.IFS(K978&gt;90,"Excellent",K978&gt;80,"Very Good",K978&gt;70,"Good",K978&gt;=50,"Poor",K978&lt;50,"Fail")</f>
        <v>Fail</v>
      </c>
    </row>
    <row r="979" spans="1:16" x14ac:dyDescent="0.25">
      <c r="A979" t="s">
        <v>988</v>
      </c>
      <c r="B979" t="s">
        <v>1984</v>
      </c>
      <c r="C979" t="s">
        <v>2306</v>
      </c>
      <c r="D979" t="s">
        <v>2797</v>
      </c>
      <c r="E979" t="s">
        <v>2008</v>
      </c>
      <c r="F979">
        <v>18</v>
      </c>
      <c r="G979" t="s">
        <v>2009</v>
      </c>
      <c r="H979" t="s">
        <v>2017</v>
      </c>
      <c r="I979" t="s">
        <v>2020</v>
      </c>
      <c r="J979" t="s">
        <v>2024</v>
      </c>
      <c r="K979">
        <v>59</v>
      </c>
      <c r="L979" t="s">
        <v>2033</v>
      </c>
      <c r="M979" t="s">
        <v>2035</v>
      </c>
      <c r="N979" t="str">
        <f t="shared" si="30"/>
        <v>Pass</v>
      </c>
      <c r="O979" t="str">
        <f t="shared" si="31"/>
        <v>Adult</v>
      </c>
      <c r="P979" t="str" cm="1">
        <f t="array" ref="P979">_xlfn.IFS(K979&gt;90,"Excellent",K979&gt;80,"Very Good",K979&gt;70,"Good",K979&gt;=50,"Poor",K979&lt;50,"Fail")</f>
        <v>Poor</v>
      </c>
    </row>
    <row r="980" spans="1:16" x14ac:dyDescent="0.25">
      <c r="A980" t="s">
        <v>989</v>
      </c>
      <c r="B980" t="s">
        <v>1985</v>
      </c>
      <c r="C980" t="s">
        <v>2070</v>
      </c>
      <c r="D980" t="s">
        <v>2480</v>
      </c>
      <c r="E980" t="s">
        <v>2007</v>
      </c>
      <c r="F980">
        <v>14</v>
      </c>
      <c r="G980" t="s">
        <v>2011</v>
      </c>
      <c r="H980" t="s">
        <v>2017</v>
      </c>
      <c r="I980" t="s">
        <v>2018</v>
      </c>
      <c r="J980" t="s">
        <v>2024</v>
      </c>
      <c r="K980">
        <v>22</v>
      </c>
      <c r="L980" t="s">
        <v>2029</v>
      </c>
      <c r="M980" t="s">
        <v>2036</v>
      </c>
      <c r="N980" t="str">
        <f t="shared" si="30"/>
        <v>Fail</v>
      </c>
      <c r="O980" t="str">
        <f t="shared" si="31"/>
        <v>UnderAge</v>
      </c>
      <c r="P980" t="str" cm="1">
        <f t="array" ref="P980">_xlfn.IFS(K980&gt;90,"Excellent",K980&gt;80,"Very Good",K980&gt;70,"Good",K980&gt;=50,"Poor",K980&lt;50,"Fail")</f>
        <v>Fail</v>
      </c>
    </row>
    <row r="981" spans="1:16" x14ac:dyDescent="0.25">
      <c r="A981" t="s">
        <v>990</v>
      </c>
      <c r="B981" t="s">
        <v>1986</v>
      </c>
      <c r="C981" t="s">
        <v>2120</v>
      </c>
      <c r="D981" t="s">
        <v>2188</v>
      </c>
      <c r="E981" t="s">
        <v>2008</v>
      </c>
      <c r="F981">
        <v>18</v>
      </c>
      <c r="G981" t="s">
        <v>2010</v>
      </c>
      <c r="H981" t="s">
        <v>2015</v>
      </c>
      <c r="I981" t="s">
        <v>2018</v>
      </c>
      <c r="J981" t="s">
        <v>2023</v>
      </c>
      <c r="K981">
        <v>81</v>
      </c>
      <c r="L981" t="s">
        <v>2033</v>
      </c>
      <c r="M981" t="s">
        <v>2035</v>
      </c>
      <c r="N981" t="str">
        <f t="shared" si="30"/>
        <v>Pass</v>
      </c>
      <c r="O981" t="str">
        <f t="shared" si="31"/>
        <v>Adult</v>
      </c>
      <c r="P981" t="str" cm="1">
        <f t="array" ref="P981">_xlfn.IFS(K981&gt;90,"Excellent",K981&gt;80,"Very Good",K981&gt;70,"Good",K981&gt;=50,"Poor",K981&lt;50,"Fail")</f>
        <v>Very Good</v>
      </c>
    </row>
    <row r="982" spans="1:16" x14ac:dyDescent="0.25">
      <c r="A982" t="s">
        <v>991</v>
      </c>
      <c r="B982" t="s">
        <v>1987</v>
      </c>
      <c r="C982" t="s">
        <v>2094</v>
      </c>
      <c r="D982" t="s">
        <v>2840</v>
      </c>
      <c r="E982" t="s">
        <v>2007</v>
      </c>
      <c r="F982">
        <v>17</v>
      </c>
      <c r="G982" t="s">
        <v>2011</v>
      </c>
      <c r="H982" t="s">
        <v>2017</v>
      </c>
      <c r="I982" t="s">
        <v>2022</v>
      </c>
      <c r="J982" t="s">
        <v>2024</v>
      </c>
      <c r="K982">
        <v>25</v>
      </c>
      <c r="L982" t="s">
        <v>2029</v>
      </c>
      <c r="M982" t="s">
        <v>2036</v>
      </c>
      <c r="N982" t="str">
        <f t="shared" si="30"/>
        <v>Fail</v>
      </c>
      <c r="O982" t="str">
        <f t="shared" si="31"/>
        <v>UnderAge</v>
      </c>
      <c r="P982" t="str" cm="1">
        <f t="array" ref="P982">_xlfn.IFS(K982&gt;90,"Excellent",K982&gt;80,"Very Good",K982&gt;70,"Good",K982&gt;=50,"Poor",K982&lt;50,"Fail")</f>
        <v>Fail</v>
      </c>
    </row>
    <row r="983" spans="1:16" x14ac:dyDescent="0.25">
      <c r="A983" t="s">
        <v>992</v>
      </c>
      <c r="B983" t="s">
        <v>1988</v>
      </c>
      <c r="C983" t="s">
        <v>2208</v>
      </c>
      <c r="D983" t="s">
        <v>2256</v>
      </c>
      <c r="E983" t="s">
        <v>2008</v>
      </c>
      <c r="F983">
        <v>18</v>
      </c>
      <c r="G983" t="s">
        <v>2013</v>
      </c>
      <c r="H983" t="s">
        <v>2015</v>
      </c>
      <c r="I983" t="s">
        <v>2019</v>
      </c>
      <c r="J983" t="s">
        <v>2024</v>
      </c>
      <c r="K983">
        <v>6</v>
      </c>
      <c r="L983" t="s">
        <v>2025</v>
      </c>
      <c r="M983" t="s">
        <v>2036</v>
      </c>
      <c r="N983" t="str">
        <f t="shared" si="30"/>
        <v>Fail</v>
      </c>
      <c r="O983" t="str">
        <f t="shared" si="31"/>
        <v>Adult</v>
      </c>
      <c r="P983" t="str" cm="1">
        <f t="array" ref="P983">_xlfn.IFS(K983&gt;90,"Excellent",K983&gt;80,"Very Good",K983&gt;70,"Good",K983&gt;=50,"Poor",K983&lt;50,"Fail")</f>
        <v>Fail</v>
      </c>
    </row>
    <row r="984" spans="1:16" x14ac:dyDescent="0.25">
      <c r="A984" t="s">
        <v>993</v>
      </c>
      <c r="B984" t="s">
        <v>1989</v>
      </c>
      <c r="C984" t="s">
        <v>2208</v>
      </c>
      <c r="D984" t="s">
        <v>2582</v>
      </c>
      <c r="E984" t="s">
        <v>2008</v>
      </c>
      <c r="F984">
        <v>16</v>
      </c>
      <c r="G984" t="s">
        <v>2011</v>
      </c>
      <c r="H984" t="s">
        <v>2017</v>
      </c>
      <c r="I984" t="s">
        <v>2021</v>
      </c>
      <c r="J984" t="s">
        <v>2023</v>
      </c>
      <c r="K984">
        <v>94</v>
      </c>
      <c r="L984" t="s">
        <v>2029</v>
      </c>
      <c r="M984" t="s">
        <v>2035</v>
      </c>
      <c r="N984" t="str">
        <f t="shared" si="30"/>
        <v>Pass</v>
      </c>
      <c r="O984" t="str">
        <f t="shared" si="31"/>
        <v>UnderAge</v>
      </c>
      <c r="P984" t="str" cm="1">
        <f t="array" ref="P984">_xlfn.IFS(K984&gt;90,"Excellent",K984&gt;80,"Very Good",K984&gt;70,"Good",K984&gt;=50,"Poor",K984&lt;50,"Fail")</f>
        <v>Excellent</v>
      </c>
    </row>
    <row r="985" spans="1:16" x14ac:dyDescent="0.25">
      <c r="A985" t="s">
        <v>994</v>
      </c>
      <c r="B985" t="s">
        <v>1990</v>
      </c>
      <c r="C985" t="s">
        <v>2077</v>
      </c>
      <c r="D985" t="s">
        <v>2691</v>
      </c>
      <c r="E985" t="s">
        <v>2007</v>
      </c>
      <c r="F985">
        <v>18</v>
      </c>
      <c r="G985" t="s">
        <v>2013</v>
      </c>
      <c r="H985" t="s">
        <v>2014</v>
      </c>
      <c r="I985" t="s">
        <v>2019</v>
      </c>
      <c r="J985" t="s">
        <v>2023</v>
      </c>
      <c r="K985">
        <v>62</v>
      </c>
      <c r="L985" t="s">
        <v>2027</v>
      </c>
      <c r="M985" t="s">
        <v>2035</v>
      </c>
      <c r="N985" t="str">
        <f t="shared" si="30"/>
        <v>Pass</v>
      </c>
      <c r="O985" t="str">
        <f t="shared" si="31"/>
        <v>Adult</v>
      </c>
      <c r="P985" t="str" cm="1">
        <f t="array" ref="P985">_xlfn.IFS(K985&gt;90,"Excellent",K985&gt;80,"Very Good",K985&gt;70,"Good",K985&gt;=50,"Poor",K985&lt;50,"Fail")</f>
        <v>Poor</v>
      </c>
    </row>
    <row r="986" spans="1:16" x14ac:dyDescent="0.25">
      <c r="A986" t="s">
        <v>995</v>
      </c>
      <c r="B986" t="s">
        <v>1991</v>
      </c>
      <c r="C986" t="s">
        <v>2098</v>
      </c>
      <c r="D986" t="s">
        <v>2451</v>
      </c>
      <c r="E986" t="s">
        <v>2008</v>
      </c>
      <c r="F986">
        <v>15</v>
      </c>
      <c r="G986" t="s">
        <v>2011</v>
      </c>
      <c r="H986" t="s">
        <v>2016</v>
      </c>
      <c r="I986" t="s">
        <v>2021</v>
      </c>
      <c r="J986" t="s">
        <v>2023</v>
      </c>
      <c r="K986">
        <v>54</v>
      </c>
      <c r="L986" t="s">
        <v>2025</v>
      </c>
      <c r="M986" t="s">
        <v>2035</v>
      </c>
      <c r="N986" t="str">
        <f t="shared" si="30"/>
        <v>Pass</v>
      </c>
      <c r="O986" t="str">
        <f t="shared" si="31"/>
        <v>UnderAge</v>
      </c>
      <c r="P986" t="str" cm="1">
        <f t="array" ref="P986">_xlfn.IFS(K986&gt;90,"Excellent",K986&gt;80,"Very Good",K986&gt;70,"Good",K986&gt;=50,"Poor",K986&lt;50,"Fail")</f>
        <v>Poor</v>
      </c>
    </row>
    <row r="987" spans="1:16" x14ac:dyDescent="0.25">
      <c r="A987" t="s">
        <v>996</v>
      </c>
      <c r="B987" t="s">
        <v>1992</v>
      </c>
      <c r="C987" t="s">
        <v>2406</v>
      </c>
      <c r="D987" t="s">
        <v>2841</v>
      </c>
      <c r="E987" t="s">
        <v>2008</v>
      </c>
      <c r="F987">
        <v>17</v>
      </c>
      <c r="G987" t="s">
        <v>2010</v>
      </c>
      <c r="H987" t="s">
        <v>2014</v>
      </c>
      <c r="I987" t="s">
        <v>2021</v>
      </c>
      <c r="J987" t="s">
        <v>2023</v>
      </c>
      <c r="K987">
        <v>36</v>
      </c>
      <c r="L987" t="s">
        <v>2032</v>
      </c>
      <c r="M987" t="s">
        <v>2036</v>
      </c>
      <c r="N987" t="str">
        <f t="shared" si="30"/>
        <v>Fail</v>
      </c>
      <c r="O987" t="str">
        <f t="shared" si="31"/>
        <v>UnderAge</v>
      </c>
      <c r="P987" t="str" cm="1">
        <f t="array" ref="P987">_xlfn.IFS(K987&gt;90,"Excellent",K987&gt;80,"Very Good",K987&gt;70,"Good",K987&gt;=50,"Poor",K987&lt;50,"Fail")</f>
        <v>Fail</v>
      </c>
    </row>
    <row r="988" spans="1:16" x14ac:dyDescent="0.25">
      <c r="A988" t="s">
        <v>997</v>
      </c>
      <c r="B988" t="s">
        <v>1993</v>
      </c>
      <c r="C988" t="s">
        <v>2271</v>
      </c>
      <c r="D988" t="s">
        <v>2416</v>
      </c>
      <c r="E988" t="s">
        <v>2007</v>
      </c>
      <c r="F988">
        <v>15</v>
      </c>
      <c r="G988" t="s">
        <v>2013</v>
      </c>
      <c r="H988" t="s">
        <v>2017</v>
      </c>
      <c r="I988" t="s">
        <v>2019</v>
      </c>
      <c r="J988" t="s">
        <v>2024</v>
      </c>
      <c r="K988">
        <v>45</v>
      </c>
      <c r="L988" t="s">
        <v>2033</v>
      </c>
      <c r="M988" t="s">
        <v>2036</v>
      </c>
      <c r="N988" t="str">
        <f t="shared" si="30"/>
        <v>Fail</v>
      </c>
      <c r="O988" t="str">
        <f t="shared" si="31"/>
        <v>UnderAge</v>
      </c>
      <c r="P988" t="str" cm="1">
        <f t="array" ref="P988">_xlfn.IFS(K988&gt;90,"Excellent",K988&gt;80,"Very Good",K988&gt;70,"Good",K988&gt;=50,"Poor",K988&lt;50,"Fail")</f>
        <v>Fail</v>
      </c>
    </row>
    <row r="989" spans="1:16" x14ac:dyDescent="0.25">
      <c r="A989" t="s">
        <v>998</v>
      </c>
      <c r="B989" t="s">
        <v>1994</v>
      </c>
      <c r="C989" t="s">
        <v>2266</v>
      </c>
      <c r="D989" t="s">
        <v>2060</v>
      </c>
      <c r="E989" t="s">
        <v>2008</v>
      </c>
      <c r="F989">
        <v>15</v>
      </c>
      <c r="G989" t="s">
        <v>2013</v>
      </c>
      <c r="H989" t="s">
        <v>2017</v>
      </c>
      <c r="I989" t="s">
        <v>2018</v>
      </c>
      <c r="J989" t="s">
        <v>2023</v>
      </c>
      <c r="K989">
        <v>73</v>
      </c>
      <c r="L989" t="s">
        <v>2034</v>
      </c>
      <c r="M989" t="s">
        <v>2035</v>
      </c>
      <c r="N989" t="str">
        <f t="shared" si="30"/>
        <v>Pass</v>
      </c>
      <c r="O989" t="str">
        <f t="shared" si="31"/>
        <v>UnderAge</v>
      </c>
      <c r="P989" t="str" cm="1">
        <f t="array" ref="P989">_xlfn.IFS(K989&gt;90,"Excellent",K989&gt;80,"Very Good",K989&gt;70,"Good",K989&gt;=50,"Poor",K989&lt;50,"Fail")</f>
        <v>Good</v>
      </c>
    </row>
    <row r="990" spans="1:16" x14ac:dyDescent="0.25">
      <c r="A990" t="s">
        <v>999</v>
      </c>
      <c r="B990" t="s">
        <v>1995</v>
      </c>
      <c r="C990" t="s">
        <v>2218</v>
      </c>
      <c r="D990" t="s">
        <v>2842</v>
      </c>
      <c r="E990" t="s">
        <v>2008</v>
      </c>
      <c r="F990">
        <v>18</v>
      </c>
      <c r="G990" t="s">
        <v>2013</v>
      </c>
      <c r="H990" t="s">
        <v>2016</v>
      </c>
      <c r="I990" t="s">
        <v>2019</v>
      </c>
      <c r="J990" t="s">
        <v>2023</v>
      </c>
      <c r="K990">
        <v>75</v>
      </c>
      <c r="L990" t="s">
        <v>2026</v>
      </c>
      <c r="M990" t="s">
        <v>2035</v>
      </c>
      <c r="N990" t="str">
        <f t="shared" si="30"/>
        <v>Pass</v>
      </c>
      <c r="O990" t="str">
        <f t="shared" si="31"/>
        <v>Adult</v>
      </c>
      <c r="P990" t="str" cm="1">
        <f t="array" ref="P990">_xlfn.IFS(K990&gt;90,"Excellent",K990&gt;80,"Very Good",K990&gt;70,"Good",K990&gt;=50,"Poor",K990&lt;50,"Fail")</f>
        <v>Good</v>
      </c>
    </row>
    <row r="991" spans="1:16" x14ac:dyDescent="0.25">
      <c r="A991" t="s">
        <v>1000</v>
      </c>
      <c r="B991" t="s">
        <v>1996</v>
      </c>
      <c r="C991" t="s">
        <v>2178</v>
      </c>
      <c r="D991" t="s">
        <v>2069</v>
      </c>
      <c r="E991" t="s">
        <v>2008</v>
      </c>
      <c r="F991">
        <v>14</v>
      </c>
      <c r="G991" t="s">
        <v>2012</v>
      </c>
      <c r="H991" t="s">
        <v>2016</v>
      </c>
      <c r="I991" t="s">
        <v>2020</v>
      </c>
      <c r="J991" t="s">
        <v>2023</v>
      </c>
      <c r="K991">
        <v>31</v>
      </c>
      <c r="L991" t="s">
        <v>2029</v>
      </c>
      <c r="M991" t="s">
        <v>2036</v>
      </c>
      <c r="N991" t="str">
        <f t="shared" si="30"/>
        <v>Fail</v>
      </c>
      <c r="O991" t="str">
        <f t="shared" si="31"/>
        <v>UnderAge</v>
      </c>
      <c r="P991" t="str" cm="1">
        <f t="array" ref="P991">_xlfn.IFS(K991&gt;90,"Excellent",K991&gt;80,"Very Good",K991&gt;70,"Good",K991&gt;=50,"Poor",K991&lt;50,"Fail")</f>
        <v>Fail</v>
      </c>
    </row>
    <row r="992" spans="1:16" x14ac:dyDescent="0.25">
      <c r="A992" t="s">
        <v>1001</v>
      </c>
      <c r="B992" t="s">
        <v>1997</v>
      </c>
      <c r="C992" t="s">
        <v>2407</v>
      </c>
      <c r="D992" t="s">
        <v>2843</v>
      </c>
      <c r="E992" t="s">
        <v>2007</v>
      </c>
      <c r="F992">
        <v>16</v>
      </c>
      <c r="G992" t="s">
        <v>2012</v>
      </c>
      <c r="H992" t="s">
        <v>2016</v>
      </c>
      <c r="I992" t="s">
        <v>2020</v>
      </c>
      <c r="J992" t="s">
        <v>2023</v>
      </c>
      <c r="K992">
        <v>19</v>
      </c>
      <c r="L992" t="s">
        <v>2030</v>
      </c>
      <c r="M992" t="s">
        <v>2036</v>
      </c>
      <c r="N992" t="str">
        <f t="shared" si="30"/>
        <v>Fail</v>
      </c>
      <c r="O992" t="str">
        <f t="shared" si="31"/>
        <v>UnderAge</v>
      </c>
      <c r="P992" t="str" cm="1">
        <f t="array" ref="P992">_xlfn.IFS(K992&gt;90,"Excellent",K992&gt;80,"Very Good",K992&gt;70,"Good",K992&gt;=50,"Poor",K992&lt;50,"Fail")</f>
        <v>Fail</v>
      </c>
    </row>
    <row r="993" spans="1:16" x14ac:dyDescent="0.25">
      <c r="A993" t="s">
        <v>1002</v>
      </c>
      <c r="B993" t="s">
        <v>1998</v>
      </c>
      <c r="C993" t="s">
        <v>2408</v>
      </c>
      <c r="D993" t="s">
        <v>2818</v>
      </c>
      <c r="E993" t="s">
        <v>2007</v>
      </c>
      <c r="F993">
        <v>17</v>
      </c>
      <c r="G993" t="s">
        <v>2010</v>
      </c>
      <c r="H993" t="s">
        <v>2015</v>
      </c>
      <c r="I993" t="s">
        <v>2019</v>
      </c>
      <c r="J993" t="s">
        <v>2024</v>
      </c>
      <c r="K993">
        <v>48</v>
      </c>
      <c r="L993" t="s">
        <v>2026</v>
      </c>
      <c r="M993" t="s">
        <v>2036</v>
      </c>
      <c r="N993" t="str">
        <f t="shared" si="30"/>
        <v>Fail</v>
      </c>
      <c r="O993" t="str">
        <f t="shared" si="31"/>
        <v>UnderAge</v>
      </c>
      <c r="P993" t="str" cm="1">
        <f t="array" ref="P993">_xlfn.IFS(K993&gt;90,"Excellent",K993&gt;80,"Very Good",K993&gt;70,"Good",K993&gt;=50,"Poor",K993&lt;50,"Fail")</f>
        <v>Fail</v>
      </c>
    </row>
    <row r="994" spans="1:16" x14ac:dyDescent="0.25">
      <c r="A994" t="s">
        <v>1003</v>
      </c>
      <c r="B994" t="s">
        <v>1999</v>
      </c>
      <c r="C994" t="s">
        <v>2409</v>
      </c>
      <c r="D994" t="s">
        <v>2557</v>
      </c>
      <c r="E994" t="s">
        <v>2007</v>
      </c>
      <c r="F994">
        <v>14</v>
      </c>
      <c r="G994" t="s">
        <v>2010</v>
      </c>
      <c r="H994" t="s">
        <v>2017</v>
      </c>
      <c r="I994" t="s">
        <v>2019</v>
      </c>
      <c r="J994" t="s">
        <v>2023</v>
      </c>
      <c r="K994">
        <v>45</v>
      </c>
      <c r="L994" t="s">
        <v>2026</v>
      </c>
      <c r="M994" t="s">
        <v>2036</v>
      </c>
      <c r="N994" t="str">
        <f t="shared" si="30"/>
        <v>Fail</v>
      </c>
      <c r="O994" t="str">
        <f t="shared" si="31"/>
        <v>UnderAge</v>
      </c>
      <c r="P994" t="str" cm="1">
        <f t="array" ref="P994">_xlfn.IFS(K994&gt;90,"Excellent",K994&gt;80,"Very Good",K994&gt;70,"Good",K994&gt;=50,"Poor",K994&lt;50,"Fail")</f>
        <v>Fail</v>
      </c>
    </row>
    <row r="995" spans="1:16" x14ac:dyDescent="0.25">
      <c r="A995" t="s">
        <v>1004</v>
      </c>
      <c r="B995" t="s">
        <v>2000</v>
      </c>
      <c r="C995" t="s">
        <v>2078</v>
      </c>
      <c r="D995" t="s">
        <v>2806</v>
      </c>
      <c r="E995" t="s">
        <v>2007</v>
      </c>
      <c r="F995">
        <v>16</v>
      </c>
      <c r="G995" t="s">
        <v>2010</v>
      </c>
      <c r="H995" t="s">
        <v>2015</v>
      </c>
      <c r="I995" t="s">
        <v>2020</v>
      </c>
      <c r="J995" t="s">
        <v>2023</v>
      </c>
      <c r="K995">
        <v>61</v>
      </c>
      <c r="L995" t="s">
        <v>2034</v>
      </c>
      <c r="M995" t="s">
        <v>2035</v>
      </c>
      <c r="N995" t="str">
        <f t="shared" si="30"/>
        <v>Pass</v>
      </c>
      <c r="O995" t="str">
        <f t="shared" si="31"/>
        <v>UnderAge</v>
      </c>
      <c r="P995" t="str" cm="1">
        <f t="array" ref="P995">_xlfn.IFS(K995&gt;90,"Excellent",K995&gt;80,"Very Good",K995&gt;70,"Good",K995&gt;=50,"Poor",K995&lt;50,"Fail")</f>
        <v>Poor</v>
      </c>
    </row>
    <row r="996" spans="1:16" x14ac:dyDescent="0.25">
      <c r="A996" t="s">
        <v>1005</v>
      </c>
      <c r="B996" t="s">
        <v>2001</v>
      </c>
      <c r="C996" t="s">
        <v>2122</v>
      </c>
      <c r="D996" t="s">
        <v>2844</v>
      </c>
      <c r="E996" t="s">
        <v>2007</v>
      </c>
      <c r="F996">
        <v>15</v>
      </c>
      <c r="G996" t="s">
        <v>2012</v>
      </c>
      <c r="H996" t="s">
        <v>2016</v>
      </c>
      <c r="I996" t="s">
        <v>2018</v>
      </c>
      <c r="J996" t="s">
        <v>2024</v>
      </c>
      <c r="K996">
        <v>41</v>
      </c>
      <c r="L996" t="s">
        <v>2026</v>
      </c>
      <c r="M996" t="s">
        <v>2036</v>
      </c>
      <c r="N996" t="str">
        <f t="shared" si="30"/>
        <v>Fail</v>
      </c>
      <c r="O996" t="str">
        <f t="shared" si="31"/>
        <v>UnderAge</v>
      </c>
      <c r="P996" t="str" cm="1">
        <f t="array" ref="P996">_xlfn.IFS(K996&gt;90,"Excellent",K996&gt;80,"Very Good",K996&gt;70,"Good",K996&gt;=50,"Poor",K996&lt;50,"Fail")</f>
        <v>Fail</v>
      </c>
    </row>
    <row r="997" spans="1:16" x14ac:dyDescent="0.25">
      <c r="A997" t="s">
        <v>1006</v>
      </c>
      <c r="B997" t="s">
        <v>2002</v>
      </c>
      <c r="C997" t="s">
        <v>2156</v>
      </c>
      <c r="D997" t="s">
        <v>2845</v>
      </c>
      <c r="E997" t="s">
        <v>2007</v>
      </c>
      <c r="F997">
        <v>17</v>
      </c>
      <c r="G997" t="s">
        <v>2012</v>
      </c>
      <c r="H997" t="s">
        <v>2017</v>
      </c>
      <c r="I997" t="s">
        <v>2022</v>
      </c>
      <c r="J997" t="s">
        <v>2024</v>
      </c>
      <c r="K997">
        <v>14</v>
      </c>
      <c r="L997" t="s">
        <v>2031</v>
      </c>
      <c r="M997" t="s">
        <v>2036</v>
      </c>
      <c r="N997" t="str">
        <f t="shared" si="30"/>
        <v>Fail</v>
      </c>
      <c r="O997" t="str">
        <f t="shared" si="31"/>
        <v>UnderAge</v>
      </c>
      <c r="P997" t="str" cm="1">
        <f t="array" ref="P997">_xlfn.IFS(K997&gt;90,"Excellent",K997&gt;80,"Very Good",K997&gt;70,"Good",K997&gt;=50,"Poor",K997&lt;50,"Fail")</f>
        <v>Fail</v>
      </c>
    </row>
    <row r="998" spans="1:16" x14ac:dyDescent="0.25">
      <c r="A998" t="s">
        <v>1007</v>
      </c>
      <c r="B998" t="s">
        <v>2003</v>
      </c>
      <c r="C998" t="s">
        <v>2410</v>
      </c>
      <c r="D998" t="s">
        <v>2569</v>
      </c>
      <c r="E998" t="s">
        <v>2007</v>
      </c>
      <c r="F998">
        <v>16</v>
      </c>
      <c r="G998" t="s">
        <v>2012</v>
      </c>
      <c r="H998" t="s">
        <v>2016</v>
      </c>
      <c r="I998" t="s">
        <v>2018</v>
      </c>
      <c r="J998" t="s">
        <v>2023</v>
      </c>
      <c r="K998">
        <v>9</v>
      </c>
      <c r="L998" t="s">
        <v>2028</v>
      </c>
      <c r="M998" t="s">
        <v>2036</v>
      </c>
      <c r="N998" t="str">
        <f t="shared" si="30"/>
        <v>Fail</v>
      </c>
      <c r="O998" t="str">
        <f t="shared" si="31"/>
        <v>UnderAge</v>
      </c>
      <c r="P998" t="str" cm="1">
        <f t="array" ref="P998">_xlfn.IFS(K998&gt;90,"Excellent",K998&gt;80,"Very Good",K998&gt;70,"Good",K998&gt;=50,"Poor",K998&lt;50,"Fail")</f>
        <v>Fail</v>
      </c>
    </row>
    <row r="999" spans="1:16" x14ac:dyDescent="0.25">
      <c r="A999" t="s">
        <v>1008</v>
      </c>
      <c r="B999" t="s">
        <v>2004</v>
      </c>
      <c r="C999" t="s">
        <v>2078</v>
      </c>
      <c r="D999" t="s">
        <v>2594</v>
      </c>
      <c r="E999" t="s">
        <v>2007</v>
      </c>
      <c r="F999">
        <v>17</v>
      </c>
      <c r="G999" t="s">
        <v>2012</v>
      </c>
      <c r="H999" t="s">
        <v>2016</v>
      </c>
      <c r="I999" t="s">
        <v>2019</v>
      </c>
      <c r="J999" t="s">
        <v>2024</v>
      </c>
      <c r="K999">
        <v>81</v>
      </c>
      <c r="L999" t="s">
        <v>2030</v>
      </c>
      <c r="M999" t="s">
        <v>2035</v>
      </c>
      <c r="N999" t="str">
        <f t="shared" si="30"/>
        <v>Pass</v>
      </c>
      <c r="O999" t="str">
        <f t="shared" si="31"/>
        <v>UnderAge</v>
      </c>
      <c r="P999" t="str" cm="1">
        <f t="array" ref="P999">_xlfn.IFS(K999&gt;90,"Excellent",K999&gt;80,"Very Good",K999&gt;70,"Good",K999&gt;=50,"Poor",K999&lt;50,"Fail")</f>
        <v>Very Good</v>
      </c>
    </row>
    <row r="1000" spans="1:16" x14ac:dyDescent="0.25">
      <c r="A1000" t="s">
        <v>1009</v>
      </c>
      <c r="B1000" t="s">
        <v>2005</v>
      </c>
      <c r="C1000" t="s">
        <v>2411</v>
      </c>
      <c r="D1000" t="s">
        <v>2044</v>
      </c>
      <c r="E1000" t="s">
        <v>2008</v>
      </c>
      <c r="F1000">
        <v>17</v>
      </c>
      <c r="G1000" t="s">
        <v>2013</v>
      </c>
      <c r="H1000" t="s">
        <v>2016</v>
      </c>
      <c r="I1000" t="s">
        <v>2020</v>
      </c>
      <c r="J1000" t="s">
        <v>2023</v>
      </c>
      <c r="K1000">
        <v>32</v>
      </c>
      <c r="L1000" t="s">
        <v>2034</v>
      </c>
      <c r="M1000" t="s">
        <v>2036</v>
      </c>
      <c r="N1000" t="str">
        <f t="shared" si="30"/>
        <v>Fail</v>
      </c>
      <c r="O1000" t="str">
        <f t="shared" si="31"/>
        <v>UnderAge</v>
      </c>
      <c r="P1000" t="str" cm="1">
        <f t="array" ref="P1000">_xlfn.IFS(K1000&gt;90,"Excellent",K1000&gt;80,"Very Good",K1000&gt;70,"Good",K1000&gt;=50,"Poor",K1000&lt;50,"Fail")</f>
        <v>Fail</v>
      </c>
    </row>
    <row r="1001" spans="1:16" x14ac:dyDescent="0.25">
      <c r="A1001" t="s">
        <v>1010</v>
      </c>
      <c r="B1001" t="s">
        <v>2006</v>
      </c>
      <c r="C1001" t="s">
        <v>2068</v>
      </c>
      <c r="D1001" t="s">
        <v>2479</v>
      </c>
      <c r="E1001" t="s">
        <v>2007</v>
      </c>
      <c r="F1001">
        <v>14</v>
      </c>
      <c r="G1001" t="s">
        <v>2010</v>
      </c>
      <c r="H1001" t="s">
        <v>2015</v>
      </c>
      <c r="I1001" t="s">
        <v>2019</v>
      </c>
      <c r="J1001" t="s">
        <v>2024</v>
      </c>
      <c r="K1001">
        <v>52</v>
      </c>
      <c r="L1001" t="s">
        <v>2025</v>
      </c>
      <c r="M1001" t="s">
        <v>2035</v>
      </c>
      <c r="N1001" t="str">
        <f t="shared" si="30"/>
        <v>Pass</v>
      </c>
      <c r="O1001" t="str">
        <f t="shared" si="31"/>
        <v>UnderAge</v>
      </c>
      <c r="P1001" t="str" cm="1">
        <f t="array" ref="P1001">_xlfn.IFS(K1001&gt;90,"Excellent",K1001&gt;80,"Very Good",K1001&gt;70,"Good",K1001&gt;=50,"Poor",K1001&lt;50,"Fail")</f>
        <v>Poor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BE37-9E8D-4CEA-A8A7-C4E65CA85FBE}">
  <dimension ref="B5:I11"/>
  <sheetViews>
    <sheetView workbookViewId="0">
      <selection activeCell="M12" sqref="M12"/>
    </sheetView>
  </sheetViews>
  <sheetFormatPr defaultRowHeight="15" x14ac:dyDescent="0.25"/>
  <cols>
    <col min="5" max="5" width="14.5703125" bestFit="1" customWidth="1"/>
    <col min="6" max="6" width="7.7109375" bestFit="1" customWidth="1"/>
    <col min="7" max="7" width="5.28515625" bestFit="1" customWidth="1"/>
    <col min="8" max="8" width="3" bestFit="1" customWidth="1"/>
  </cols>
  <sheetData>
    <row r="5" spans="2:9" x14ac:dyDescent="0.25">
      <c r="I5" t="s">
        <v>2866</v>
      </c>
    </row>
    <row r="8" spans="2:9" x14ac:dyDescent="0.25">
      <c r="E8" t="str" cm="1">
        <f t="array" ref="E8:I8">_xlfn.XLOOKUP(I5,Sheet1!A:A,_xlfn.CHOOSECOLS(Sheet1!A:P,2,9,10,11,16),"Not Found",0)</f>
        <v>Karen Alvarado</v>
      </c>
      <c r="F8" t="str">
        <v>Science</v>
      </c>
      <c r="G8" t="str">
        <v>Final</v>
      </c>
      <c r="H8">
        <v>94</v>
      </c>
      <c r="I8" t="str">
        <v>Excellent</v>
      </c>
    </row>
    <row r="9" spans="2:9" x14ac:dyDescent="0.25">
      <c r="B9" s="2"/>
    </row>
    <row r="10" spans="2:9" x14ac:dyDescent="0.25">
      <c r="B10" s="2"/>
      <c r="E10" s="2"/>
    </row>
    <row r="11" spans="2:9" x14ac:dyDescent="0.25">
      <c r="B11" s="2"/>
      <c r="E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71FC-9C2B-4CD7-A8A4-2A50EFD7B70C}">
  <dimension ref="F3:K8"/>
  <sheetViews>
    <sheetView tabSelected="1" workbookViewId="0">
      <selection activeCell="H15" sqref="H15"/>
    </sheetView>
  </sheetViews>
  <sheetFormatPr defaultRowHeight="15" x14ac:dyDescent="0.25"/>
  <cols>
    <col min="6" max="6" width="9.42578125" bestFit="1" customWidth="1"/>
    <col min="7" max="7" width="23.140625" customWidth="1"/>
    <col min="8" max="8" width="28.85546875" bestFit="1" customWidth="1"/>
    <col min="9" max="9" width="10.85546875" bestFit="1" customWidth="1"/>
    <col min="11" max="11" width="13.42578125" bestFit="1" customWidth="1"/>
  </cols>
  <sheetData>
    <row r="3" spans="6:11" ht="18.75" x14ac:dyDescent="0.3">
      <c r="H3" s="9" t="s">
        <v>2867</v>
      </c>
      <c r="I3" s="9"/>
      <c r="J3" s="9"/>
    </row>
    <row r="5" spans="6:11" x14ac:dyDescent="0.25">
      <c r="H5" s="10" t="s">
        <v>2874</v>
      </c>
      <c r="I5" s="10"/>
      <c r="J5" s="10"/>
    </row>
    <row r="7" spans="6:11" x14ac:dyDescent="0.25">
      <c r="F7" s="8" t="s">
        <v>2868</v>
      </c>
      <c r="G7" s="8" t="s">
        <v>2869</v>
      </c>
      <c r="H7" s="8" t="s">
        <v>2870</v>
      </c>
      <c r="I7" s="8" t="s">
        <v>2872</v>
      </c>
      <c r="J7" s="8" t="s">
        <v>2871</v>
      </c>
      <c r="K7" s="8" t="s">
        <v>2873</v>
      </c>
    </row>
    <row r="8" spans="6:11" x14ac:dyDescent="0.25">
      <c r="F8" t="str" cm="1">
        <f t="array" ref="F8:K8">_xlfn.XLOOKUP(H5,Sheet1!A:A,_xlfn.CHOOSECOLS(Sheet1!A:P,1,2,7,10,11,16),"Not Found",0)</f>
        <v>S1016</v>
      </c>
      <c r="G8" t="str">
        <v>Danielle Campos</v>
      </c>
      <c r="H8" t="str">
        <v>Brooklyn Technical High School</v>
      </c>
      <c r="I8" t="str">
        <v>Final</v>
      </c>
      <c r="J8">
        <v>96</v>
      </c>
      <c r="K8" t="str">
        <v>Excellent</v>
      </c>
    </row>
  </sheetData>
  <mergeCells count="2">
    <mergeCell ref="H3:J3"/>
    <mergeCell ref="H5:J5"/>
  </mergeCells>
  <conditionalFormatting sqref="F8:K8">
    <cfRule type="expression" dxfId="0" priority="1">
      <formula>$F8="Excellent"</formula>
    </cfRule>
  </conditionalFormatting>
  <dataValidations count="1">
    <dataValidation type="whole" errorStyle="warning" allowBlank="1" showInputMessage="1" showErrorMessage="1" errorTitle="stop " error="enter valid id" promptTitle="select id" sqref="H5:J5" xr:uid="{1CDEEB68-CE67-4A05-9BFD-E14634108261}">
      <formula1>6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احمد عماد محمد عبد العاطى</cp:lastModifiedBy>
  <dcterms:created xsi:type="dcterms:W3CDTF">2025-05-02T16:07:33Z</dcterms:created>
  <dcterms:modified xsi:type="dcterms:W3CDTF">2026-06-20T16:45:27Z</dcterms:modified>
</cp:coreProperties>
</file>